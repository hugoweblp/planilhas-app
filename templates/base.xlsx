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DRÃO" sheetId="1" r:id="rId4"/>
    <sheet name="BASE 02" sheetId="2" r:id="rId5"/>
    <sheet name="BASE 03" sheetId="3" r:id="rId6"/>
    <sheet name="JAYME BACESSART (2)" sheetId="4" state="hidden" r:id="rId7"/>
  </sheets>
  <definedNames>
    <definedName name="_xlnm.Print_Area" localSheetId="0">'PADRÃO'!$A$1:$H$45</definedName>
    <definedName name="_xlnm.Print_Area" localSheetId="1">'BASE 02'!$A$1:$H$45</definedName>
    <definedName name="_xlnm.Print_Area" localSheetId="2">'BASE 03'!$A$1:$H$45</definedName>
    <definedName name="_xlnm.Print_Area" localSheetId="3">'JAYME BACESSART (2)'!$A$1:$H$55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<sst xmlns="http://schemas.openxmlformats.org/spreadsheetml/2006/main" uniqueCount="107">
  <si>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 xml:space="preserve">         Programa Dinheiro Direto na Escola (PDDE)</t>
  </si>
  <si>
    <t>PDDE</t>
  </si>
  <si>
    <t>Fundo Nacional de Desenvolvimento da Educação</t>
  </si>
  <si>
    <t>PLANILHA DE PESQUISA DE PREÇOS</t>
  </si>
  <si>
    <t>BLOCO I - IDENTIFICAÇÃO DA UNIDADE EXECUTORA PRÓPRIA (UEx)</t>
  </si>
  <si>
    <t xml:space="preserve">1- UF: </t>
  </si>
  <si>
    <t>PA</t>
  </si>
  <si>
    <t xml:space="preserve">2- Municipio: </t>
  </si>
  <si>
    <t xml:space="preserve">3- Pesquisa nº: </t>
  </si>
  <si>
    <t xml:space="preserve"> </t>
  </si>
  <si>
    <t>CONSELHO:</t>
  </si>
  <si>
    <t>CNPJ</t>
  </si>
  <si>
    <t>CONSELHO ESCOLAR DA ESCOLA RAQUEL FREIRE PAES</t>
  </si>
  <si>
    <t>02.522.102/0001-00</t>
  </si>
  <si>
    <t xml:space="preserve">6- Endereço:  </t>
  </si>
  <si>
    <t>COMUNIDADESAO RAIMUNDO DO MOJU, SN</t>
  </si>
  <si>
    <t>BLOCO II - IDENTIFICAÇÃO DO DIRIGENTE OU DO RESPRESENTANTE LEGAL DA Uex</t>
  </si>
  <si>
    <t>7- Nome do Dirigente ou do Representante Legal da Uex</t>
  </si>
  <si>
    <t>8- Cargo:</t>
  </si>
  <si>
    <t>PRESIDENTE DO CONSELHO</t>
  </si>
  <si>
    <t>9- Assinatura do Dirigente ou do Representante Legal da Uex</t>
  </si>
  <si>
    <t>10- Telefone:</t>
  </si>
  <si>
    <t xml:space="preserve">11- Nome da Empresa / Pessoa Física: </t>
  </si>
  <si>
    <t xml:space="preserve">12- Data/hora: </t>
  </si>
  <si>
    <t>CONTROLE</t>
  </si>
  <si>
    <t>BLOCO III - PROPOSTAS</t>
  </si>
  <si>
    <t>PREÇO COMPRAR</t>
  </si>
  <si>
    <t>VENDA</t>
  </si>
  <si>
    <t>14-Item</t>
  </si>
  <si>
    <t>15 - Descrição dos Produtos e Serviços</t>
  </si>
  <si>
    <t>16-UND</t>
  </si>
  <si>
    <t>17-Quant.</t>
  </si>
  <si>
    <t>18-Valor Unit</t>
  </si>
  <si>
    <t>19-Valor Total</t>
  </si>
  <si>
    <t>VENDA COMPRAR TOTAL</t>
  </si>
  <si>
    <t>VALOR VENDA</t>
  </si>
  <si>
    <t>%</t>
  </si>
  <si>
    <t>% LUCRO</t>
  </si>
  <si>
    <t>1</t>
  </si>
  <si>
    <t>CAIXA AMP JBL PARTY BOX ENCORE C/2 MIC</t>
  </si>
  <si>
    <t>UN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</si>
  <si>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</si>
  <si>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</si>
  <si>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</si>
  <si>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</si>
  <si>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</si>
  <si>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</si>
  <si>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</si>
  <si>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</si>
  <si>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</si>
  <si>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TOTAL COMPRAR</t>
  </si>
  <si>
    <t>BLOCO IV - IDENTIFICAÇÃO DOS COMPONENTES (fornecedores de produtos ou prestadores de serviços)</t>
  </si>
  <si>
    <t>FINANCEIRO</t>
  </si>
  <si>
    <t>TAXA</t>
  </si>
  <si>
    <t>BASE</t>
  </si>
  <si>
    <t>22 - Endereço</t>
  </si>
  <si>
    <t>23 - Municipio</t>
  </si>
  <si>
    <t>24 - UF</t>
  </si>
  <si>
    <t>CLAUDIAN %</t>
  </si>
  <si>
    <t>LIMPEZA</t>
  </si>
  <si>
    <t>IMPOSTO R$</t>
  </si>
  <si>
    <t>INFORMATICA</t>
  </si>
  <si>
    <t>25 - CNPJ / CPF</t>
  </si>
  <si>
    <t>26 - RG</t>
  </si>
  <si>
    <t>MAQUINETA R$</t>
  </si>
  <si>
    <t>EXPEDIENTE</t>
  </si>
  <si>
    <t>ENTREGA R$</t>
  </si>
  <si>
    <t>27 - Assinatura e Carimbo do Representante Legal da Empresa</t>
  </si>
  <si>
    <t>TOTAL DESPESAS</t>
  </si>
  <si>
    <t>LUCRO</t>
  </si>
  <si>
    <t>LUCRO REAL</t>
  </si>
  <si>
    <t xml:space="preserve">                   Fundo Nacional de Desenvolvimento da Educação</t>
  </si>
  <si>
    <t xml:space="preserve">                                                                                                   </t>
  </si>
  <si>
    <t>COMUNIDADESAO RAIMUNDO DO MOJU, SN, 68129-00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</si>
  <si>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</si>
  <si>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</t>
  </si>
  <si>
    <t xml:space="preserve">                                    </t>
  </si>
  <si>
    <t>ESCOLA</t>
  </si>
  <si>
    <t>CONSELHO ESCOLAR DA ESCOLA MUNI ENS FUN PROF RAQUEL FREIRE PAES</t>
  </si>
  <si>
    <t>SANTARÉM</t>
  </si>
  <si>
    <t>CONSELHO ESCOLAR DA ESC. MUN. ENS. FUN. JAYME BARCESSAT</t>
  </si>
  <si>
    <t>02.522.011/0001-67</t>
  </si>
  <si>
    <t>6- Endereço:</t>
  </si>
  <si>
    <t>COM CURUA UMA, S/N - PLANALTO</t>
  </si>
  <si>
    <t>13- Bens, Materiai ou Serviços</t>
  </si>
  <si>
    <t>16-Unid.</t>
  </si>
  <si>
    <t>01</t>
  </si>
  <si>
    <t>CANETA DESTACA TEXTO</t>
  </si>
  <si>
    <t>CX</t>
  </si>
  <si>
    <t>02</t>
  </si>
  <si>
    <t>03</t>
  </si>
  <si>
    <t>04</t>
  </si>
  <si>
    <t>05</t>
  </si>
  <si>
    <t>06</t>
  </si>
  <si>
    <t>07</t>
  </si>
  <si>
    <t>08</t>
  </si>
  <si>
    <t>09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</si>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</sst>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:space="preserve">
  <numFmts count="4"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_-[$R$-416]\ * #,##0.00_-;\-[$R$-416]\ * #,##0.00_-;_-[$R$-416]\ * &quot;-&quot;??_-;_-@_-"/>
    <numFmt numFmtId="167" formatCode="_-* #,##0.00_-;\-* #,##0.00_-;_-* &quot;-&quot;??_-;_-@_-"/>
  </numFmts>
  <fonts count="29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 Black"/>
    </font>
    <font>
      <b val="1"/>
      <i val="0"/>
      <strike val="0"/>
      <u val="none"/>
      <sz val="9"/>
      <color rgb="FF000000"/>
      <name val="Arial Black"/>
    </font>
    <font>
      <b val="1"/>
      <i val="0"/>
      <strike val="0"/>
      <u val="none"/>
      <sz val="12"/>
      <color rgb="FF000000"/>
      <name val="Arial Black"/>
    </font>
    <font>
      <b val="1"/>
      <i val="0"/>
      <strike val="0"/>
      <u val="none"/>
      <sz val="18"/>
      <color rgb="FF000000"/>
      <name val="Arial Black"/>
    </font>
    <font>
      <b val="1"/>
      <i val="0"/>
      <strike val="0"/>
      <u val="none"/>
      <sz val="14"/>
      <color rgb="FF000000"/>
      <name val="Arial Black"/>
    </font>
    <font>
      <b val="1"/>
      <i val="0"/>
      <strike val="0"/>
      <u val="none"/>
      <sz val="8"/>
      <color rgb="FF000000"/>
      <name val="Arial Black"/>
    </font>
    <font>
      <b val="0"/>
      <i val="0"/>
      <strike val="0"/>
      <u val="none"/>
      <sz val="8"/>
      <color rgb="FF000000"/>
      <name val="Arial Black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9"/>
      <color rgb="FFC0C0C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Bahnschrift SemiLight"/>
    </font>
    <font>
      <b val="0"/>
      <i val="0"/>
      <strike val="0"/>
      <u val="none"/>
      <sz val="10"/>
      <color rgb="FF000000"/>
      <name val="Bell MT"/>
    </font>
    <font>
      <b val="1"/>
      <i val="0"/>
      <strike val="0"/>
      <u val="none"/>
      <sz val="12"/>
      <color rgb="FF000000"/>
      <name val="Bell MT"/>
    </font>
    <font>
      <b val="1"/>
      <i val="0"/>
      <strike val="0"/>
      <u val="none"/>
      <sz val="18"/>
      <color rgb="FF000000"/>
      <name val="Bell MT"/>
    </font>
    <font>
      <b val="1"/>
      <i val="0"/>
      <strike val="0"/>
      <u val="none"/>
      <sz val="11"/>
      <color rgb="FF000000"/>
      <name val="Bell MT"/>
    </font>
    <font>
      <b val="0"/>
      <i val="0"/>
      <strike val="0"/>
      <u val="none"/>
      <sz val="11"/>
      <color rgb="FF000000"/>
      <name val="Bell MT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single"/>
      <sz val="16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C0C0C0"/>
      <name val="Arial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single"/>
      <sz val="14"/>
      <color rgb="FF000000"/>
      <name val="Arial Black"/>
    </font>
    <font>
      <b val="1"/>
      <i val="0"/>
      <strike val="0"/>
      <u val="single"/>
      <sz val="14"/>
      <color rgb="FF000000"/>
      <name val="Bell MT"/>
    </font>
    <font>
      <b val="1"/>
      <i val="0"/>
      <strike val="0"/>
      <u val="none"/>
      <sz val="11"/>
      <color rgb="FF000000"/>
      <name val="Arial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00FF00"/>
        <bgColor rgb="FF00000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</border>
  </borders>
  <cellStyleXfs count="1">
    <xf numFmtId="0" fontId="0" fillId="0" borderId="0"/>
  </cellStyleXfs>
  <cellXfs count="245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1" numFmtId="0" fillId="2" borderId="1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1" numFmtId="0" fillId="2" borderId="1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0" numFmtId="164" fillId="0" borderId="1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2" borderId="2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3" numFmtId="0" fillId="2" borderId="2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3" numFmtId="0" fillId="2" borderId="3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3" numFmtId="0" fillId="2" borderId="4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2" borderId="1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3" numFmtId="0" fillId="0" borderId="4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3" numFmtId="0" fillId="2" borderId="5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3" numFmtId="0" fillId="2" borderId="6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1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3" numFmtId="165" fillId="0" borderId="7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1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1" applyFont="0" applyNumberFormat="1" applyFill="0" applyBorder="1" applyAlignment="1" applyProtection="true">
      <alignment horizontal="center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8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6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0" numFmtId="0" fillId="0" borderId="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5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0" numFmtId="0" fillId="0" borderId="8" applyFont="0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165" fillId="0" borderId="1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6" fillId="0" borderId="1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6" numFmtId="0" fillId="0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7" numFmtId="0" fillId="0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8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2" borderId="2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9" numFmtId="0" fillId="0" borderId="4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9" numFmtId="0" fillId="2" borderId="5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2" borderId="6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0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0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9" numFmtId="0" fillId="2" borderId="1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9" numFmtId="0" fillId="2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9" numFmtId="0" fillId="2" borderId="1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10" numFmtId="49" fillId="0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0" numFmtId="0" fillId="0" borderId="5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0" numFmtId="0" fillId="0" borderId="8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0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0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0" numFmtId="166" fillId="0" borderId="1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10" numFmtId="165" fillId="2" borderId="1" applyFont="1" applyNumberFormat="1" applyFill="1" applyBorder="1" applyAlignment="1" applyProtection="true">
      <alignment horizontal="general" vertical="center" textRotation="0" wrapText="false" shrinkToFit="false"/>
      <protection hidden="false"/>
    </xf>
    <xf xfId="0" fontId="9" numFmtId="0" fillId="2" borderId="2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2" borderId="3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9" numFmtId="0" fillId="2" borderId="4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165" fillId="3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3" numFmtId="165" fillId="0" borderId="0" applyFont="1" applyNumberFormat="1" applyFill="0" applyBorder="0" applyAlignment="1" applyProtection="true">
      <alignment horizontal="center" vertical="bottom" textRotation="0" wrapText="false" shrinkToFit="false"/>
      <protection hidden="false"/>
    </xf>
    <xf xfId="0" fontId="0" numFmtId="165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3" numFmtId="165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1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1" numFmtId="165" fillId="4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1" numFmtId="9" fillId="4" borderId="0" applyFont="1" applyNumberFormat="1" applyFill="1" applyBorder="0" applyAlignment="1" applyProtection="true">
      <alignment horizontal="center" vertical="bottom" textRotation="0" wrapText="false" shrinkToFit="false"/>
      <protection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2" numFmtId="0" fillId="5" borderId="0" applyFont="1" applyNumberFormat="0" applyFill="1" applyBorder="0" applyAlignment="1" applyProtection="true">
      <alignment horizontal="general" vertical="center" textRotation="0" wrapText="true" shrinkToFit="false"/>
      <protection hidden="false"/>
    </xf>
    <xf xfId="0" fontId="12" numFmtId="0" fillId="5" borderId="0" applyFont="1" applyNumberFormat="0" applyFill="1" applyBorder="0" applyAlignment="1" applyProtection="true">
      <alignment horizontal="center" vertical="center" textRotation="0" wrapText="true" shrinkToFit="false"/>
      <protection hidden="false"/>
    </xf>
    <xf xfId="0" fontId="0" numFmtId="165" fillId="6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0" numFmtId="166" fillId="6" borderId="0" applyFont="0" applyNumberFormat="1" applyFill="1" applyBorder="0" applyAlignment="1" applyProtection="true">
      <alignment horizontal="general" vertical="center" textRotation="0" wrapText="false" shrinkToFit="false"/>
      <protection hidden="false"/>
    </xf>
    <xf xfId="0" fontId="3" numFmtId="0" fillId="7" borderId="0" applyFont="1" applyNumberFormat="0" applyFill="1" applyBorder="0" applyAlignment="1" applyProtection="true">
      <alignment horizontal="center" vertical="center" textRotation="0" wrapText="false" shrinkToFit="false"/>
      <protection hidden="false"/>
    </xf>
    <xf xfId="0" fontId="3" numFmtId="165" fillId="7" borderId="0" applyFont="1" applyNumberFormat="1" applyFill="1" applyBorder="0" applyAlignment="1" applyProtection="true">
      <alignment horizontal="center" vertical="center" textRotation="0" wrapText="false" shrinkToFit="false"/>
      <protection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0" numFmtId="9" fillId="3" borderId="0" applyFont="0" applyNumberFormat="1" applyFill="1" applyBorder="0" applyAlignment="0" applyProtection="true">
      <alignment horizontal="general" vertical="bottom" textRotation="0" wrapText="false" shrinkToFit="false"/>
      <protection hidden="false"/>
    </xf>
    <xf xfId="0" fontId="13" numFmtId="9" fillId="3" borderId="0" applyFont="1" applyNumberFormat="1" applyFill="1" applyBorder="0" applyAlignment="1" applyProtection="true">
      <alignment horizontal="general" vertical="center" textRotation="0" wrapText="true" shrinkToFit="false"/>
      <protection hidden="false"/>
    </xf>
    <xf xfId="0" fontId="0" numFmtId="167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3" numFmtId="9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4" numFmtId="165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0" numFmtId="165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10" numFmtId="165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0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0" numFmtId="0" fillId="0" borderId="9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9" numFmtId="0" fillId="0" borderId="9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5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6" numFmtId="0" fillId="0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17" numFmtId="0" fillId="0" borderId="0" applyFont="1" applyNumberFormat="0" applyFill="0" applyBorder="0" applyAlignment="1" applyProtection="true">
      <alignment horizontal="general" vertical="top" textRotation="0" wrapText="false" shrinkToFit="false"/>
      <protection hidden="false"/>
    </xf>
    <xf xfId="0" fontId="16" numFmtId="0" fillId="0" borderId="10" applyFont="1" applyNumberFormat="0" applyFill="0" applyBorder="1" applyAlignment="1" applyProtection="true">
      <alignment horizontal="general" vertical="top" textRotation="0" wrapText="false" shrinkToFit="false"/>
      <protection hidden="false"/>
    </xf>
    <xf xfId="0" fontId="16" numFmtId="0" fillId="0" borderId="11" applyFont="1" applyNumberFormat="0" applyFill="0" applyBorder="1" applyAlignment="1" applyProtection="true">
      <alignment horizontal="general" vertical="top" textRotation="0" wrapText="false" shrinkToFit="false"/>
      <protection hidden="false"/>
    </xf>
    <xf xfId="0" fontId="18" numFmtId="0" fillId="2" borderId="2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18" numFmtId="0" fillId="0" borderId="4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8" numFmtId="0" fillId="2" borderId="5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18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2" borderId="6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18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2" borderId="1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18" numFmtId="0" fillId="2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8" numFmtId="0" fillId="2" borderId="1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19" numFmtId="49" fillId="0" borderId="1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9" numFmtId="0" fillId="0" borderId="5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9" numFmtId="0" fillId="0" borderId="8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9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9" numFmtId="166" fillId="0" borderId="1" applyFont="1" applyNumberFormat="1" applyFill="0" applyBorder="1" applyAlignment="1" applyProtection="true">
      <alignment horizontal="general" vertical="center" textRotation="0" wrapText="false" shrinkToFit="false"/>
      <protection hidden="false"/>
    </xf>
    <xf xfId="0" fontId="19" numFmtId="165" fillId="2" borderId="1" applyFont="1" applyNumberFormat="1" applyFill="1" applyBorder="1" applyAlignment="1" applyProtection="true">
      <alignment horizontal="general" vertical="center" textRotation="0" wrapText="false" shrinkToFit="false"/>
      <protection hidden="false"/>
    </xf>
    <xf xfId="0" fontId="18" numFmtId="0" fillId="2" borderId="2" applyFont="1" applyNumberFormat="0" applyFill="1" applyBorder="1" applyAlignment="1" applyProtection="true">
      <alignment horizontal="general" vertical="center" textRotation="0" wrapText="true" shrinkToFit="false"/>
      <protection hidden="false"/>
    </xf>
    <xf xfId="0" fontId="18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8" numFmtId="0" fillId="2" borderId="3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18" numFmtId="0" fillId="2" borderId="4" applyFont="1" applyNumberFormat="0" applyFill="1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20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1" numFmtId="0" fillId="2" borderId="0" applyFont="1" applyNumberFormat="0" applyFill="1" applyBorder="0" applyAlignment="1" applyProtection="true">
      <alignment horizontal="center" vertical="center" textRotation="0" wrapText="true" shrinkToFit="false"/>
      <protection hidden="false"/>
    </xf>
    <xf xfId="0" fontId="1" numFmtId="0" fillId="0" borderId="1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2" borderId="5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2" borderId="8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2" borderId="6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3" fillId="0" borderId="5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3" numFmtId="0" fillId="2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2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2" numFmtId="14" fillId="0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2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23" numFmtId="0" fillId="2" borderId="5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23" numFmtId="0" fillId="2" borderId="8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23" numFmtId="0" fillId="2" borderId="6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2" borderId="5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2" borderId="8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" numFmtId="0" fillId="2" borderId="6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23" numFmtId="0" fillId="2" borderId="12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23" numFmtId="0" fillId="2" borderId="8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0" numFmtId="0" fillId="0" borderId="10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2" borderId="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2" borderId="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3" numFmtId="0" fillId="2" borderId="4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24" numFmtId="0" fillId="4" borderId="0" applyFont="1" applyNumberFormat="0" applyFill="1" applyBorder="0" applyAlignment="1" applyProtection="true">
      <alignment horizontal="center" vertical="center" textRotation="0" wrapText="true" shrinkToFit="false"/>
      <protection hidden="false"/>
    </xf>
    <xf xfId="0" fontId="12" numFmtId="0" fillId="5" borderId="0" applyFont="1" applyNumberFormat="0" applyFill="1" applyBorder="0" applyAlignment="1" applyProtection="true">
      <alignment horizontal="center" vertical="center" textRotation="0" wrapText="true" shrinkToFit="false"/>
      <protection hidden="false"/>
    </xf>
    <xf xfId="0" fontId="25" numFmtId="0" fillId="4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11" numFmtId="0" fillId="5" borderId="0" applyFont="1" applyNumberFormat="0" applyFill="1" applyBorder="0" applyAlignment="1" applyProtection="true">
      <alignment horizontal="center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6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6" numFmtId="0" fillId="2" borderId="0" applyFont="1" applyNumberFormat="0" applyFill="1" applyBorder="0" applyAlignment="1" applyProtection="true">
      <alignment horizontal="center" vertical="center" textRotation="0" wrapText="true" shrinkToFit="false"/>
      <protection hidden="false"/>
    </xf>
    <xf xfId="0" fontId="9" numFmtId="0" fillId="0" borderId="1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2" borderId="5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2" borderId="8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2" borderId="6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3" fillId="0" borderId="5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0" applyFont="1" applyNumberFormat="0" applyFill="0" applyBorder="0" applyAlignment="1" applyProtection="true">
      <alignment horizontal="left" vertical="center" textRotation="0" wrapText="false" shrinkToFit="false"/>
      <protection hidden="false"/>
    </xf>
    <xf xfId="0" fontId="9" numFmtId="0" fillId="2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14" fillId="0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2" borderId="13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9" numFmtId="0" fillId="2" borderId="14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9" numFmtId="0" fillId="2" borderId="15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2" borderId="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2" borderId="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9" numFmtId="0" fillId="2" borderId="4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0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0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0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9" numFmtId="0" fillId="0" borderId="5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9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9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2" borderId="16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18" numFmtId="0" fillId="2" borderId="3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18" numFmtId="0" fillId="2" borderId="1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2" borderId="2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2" borderId="3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2" borderId="4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14" fillId="0" borderId="5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8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8" numFmtId="0" fillId="2" borderId="5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2" borderId="8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2" borderId="6" applyFont="1" applyNumberFormat="0" applyFill="1" applyBorder="1" applyAlignment="1" applyProtection="true">
      <alignment horizontal="left" vertical="center" textRotation="0" wrapText="false" shrinkToFit="false"/>
      <protection hidden="false"/>
    </xf>
    <xf xfId="0" fontId="18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8" numFmtId="3" fillId="0" borderId="5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14" numFmtId="0" fillId="0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6" numFmtId="0" fillId="0" borderId="8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6" numFmtId="0" fillId="0" borderId="6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7" numFmtId="0" fillId="0" borderId="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7" numFmtId="0" fillId="0" borderId="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7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7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7" numFmtId="0" fillId="2" borderId="3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27" numFmtId="0" fillId="2" borderId="10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18" numFmtId="0" fillId="0" borderId="1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0" borderId="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8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8" numFmtId="3" fillId="0" borderId="5" applyFont="1" applyNumberFormat="1" applyFill="0" applyBorder="1" applyAlignment="1" applyProtection="true">
      <alignment horizontal="left" vertical="center" textRotation="0" wrapText="false" shrinkToFit="false"/>
      <protection hidden="false"/>
    </xf>
    <xf xfId="0" fontId="28" numFmtId="0" fillId="0" borderId="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2" numFmtId="0" fillId="0" borderId="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3" numFmtId="0" fillId="2" borderId="13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23" numFmtId="0" fillId="2" borderId="14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23" numFmtId="0" fillId="2" borderId="15" applyFont="1" applyNumberFormat="0" applyFill="1" applyBorder="1" applyAlignment="1" applyProtection="true">
      <alignment horizontal="right" vertical="center" textRotation="0" wrapText="false" shrinkToFit="false"/>
      <protection hidden="false"/>
    </xf>
    <xf xfId="0" fontId="0" numFmtId="0" fillId="0" borderId="10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6" applyFont="0" applyNumberFormat="0" applyFill="0" applyBorder="1" applyAlignment="1" applyProtection="true">
      <alignment horizontal="left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8530d70fc456ffd3ae5303ceace6b7e1.png"/><Relationship Id="rId2" Type="http://schemas.openxmlformats.org/officeDocument/2006/relationships/image" Target="../media/2c28ed24ee87c241f8bb8b9dda77529a2.png"/><Relationship Id="rId3" Type="http://schemas.openxmlformats.org/officeDocument/2006/relationships/image" Target="../media/4b79eb149841c07fda873d8074565702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83aa469021f3abf69acd9f8409bbd7ba4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1e6f1e7c4c4373cdbdb6d84ee5d16f25.jpeg"/><Relationship Id="rId2" Type="http://schemas.openxmlformats.org/officeDocument/2006/relationships/image" Target="../media/025f9437102aec951d94283b0ae55e7b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68689cde8e23351d1db87b21b12d49587.png"/><Relationship Id="rId2" Type="http://schemas.openxmlformats.org/officeDocument/2006/relationships/image" Target="../media/28a1dce36a85d0a05b885df54398c0098.png"/><Relationship Id="rId3" Type="http://schemas.openxmlformats.org/officeDocument/2006/relationships/image" Target="../media/a2a67200dde2f3684c3b54fafc84eb8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28463</xdr:rowOff>
    </xdr:from>
    <xdr:ext cx="762000" cy="3238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28463</xdr:rowOff>
    </xdr:from>
    <xdr:ext cx="762000" cy="3238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28463</xdr:rowOff>
    </xdr:from>
    <xdr:ext cx="762000" cy="3238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76423</xdr:colOff>
      <xdr:row>1</xdr:row>
      <xdr:rowOff>47923</xdr:rowOff>
    </xdr:from>
    <xdr:ext cx="752475" cy="4191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76423</xdr:colOff>
      <xdr:row>1</xdr:row>
      <xdr:rowOff>47923</xdr:rowOff>
    </xdr:from>
    <xdr:ext cx="752475" cy="4191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76423</xdr:colOff>
      <xdr:row>1</xdr:row>
      <xdr:rowOff>47923</xdr:rowOff>
    </xdr:from>
    <xdr:ext cx="762000" cy="2476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28463</xdr:rowOff>
    </xdr:from>
    <xdr:ext cx="762000" cy="3238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28463</xdr:rowOff>
    </xdr:from>
    <xdr:ext cx="762000" cy="3238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28463</xdr:rowOff>
    </xdr:from>
    <xdr:ext cx="762000" cy="3238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1"/>
  <sheetViews>
    <sheetView tabSelected="1" workbookViewId="0" zoomScale="85" zoomScaleNormal="85" view="pageBreakPreview" showGridLines="true" showRowColHeaders="1">
      <selection activeCell="G23" sqref="G23"/>
    </sheetView>
  </sheetViews>
  <sheetFormatPr customHeight="true" defaultRowHeight="12.75" outlineLevelRow="0" outlineLevelCol="0"/>
  <cols>
    <col min="1" max="1" width="7.42578125" customWidth="true" style="0"/>
    <col min="3" max="3" width="13.5703125" customWidth="true" style="0"/>
    <col min="4" max="4" width="26.42578125" customWidth="true" style="0"/>
    <col min="5" max="5" width="12.7109375" customWidth="true" style="0"/>
    <col min="6" max="6" width="12.42578125" customWidth="true" style="0"/>
    <col min="7" max="7" width="15.42578125" customWidth="true" style="0"/>
    <col min="8" max="8" width="17" customWidth="true" style="0"/>
    <col min="9" max="9" width="2.28515625" customWidth="true" style="0"/>
    <col min="10" max="10" width="23.140625" customWidth="true" style="0"/>
    <col min="11" max="11" width="23.5703125" customWidth="true" style="0"/>
    <col min="12" max="12" width="19.85546875" customWidth="true" style="0"/>
    <col min="13" max="13" width="11.42578125" customWidth="true" style="0"/>
    <col min="14" max="14" width="19.85546875" customWidth="true" style="0"/>
  </cols>
  <sheetData>
    <row r="1" spans="1:15" customHeight="1" ht="12.75">
      <c r="A1" s="128"/>
      <c r="B1" s="128"/>
      <c r="C1" s="128"/>
      <c r="D1" s="128"/>
      <c r="E1" s="128"/>
      <c r="F1" s="128"/>
      <c r="G1" s="128"/>
      <c r="H1" s="128"/>
      <c r="I1" s="5"/>
      <c r="J1" s="5"/>
      <c r="K1" s="5"/>
    </row>
    <row r="2" spans="1:15" customHeight="1" ht="12.75">
      <c r="B2" s="129" t="s">
        <v>0</v>
      </c>
      <c r="C2" s="129"/>
      <c r="D2" s="129"/>
      <c r="E2" s="129"/>
      <c r="F2" s="129"/>
      <c r="G2" s="130" t="s">
        <v>1</v>
      </c>
      <c r="H2" s="130"/>
      <c r="I2" s="2"/>
      <c r="J2" s="2"/>
      <c r="K2" s="2"/>
    </row>
    <row r="3" spans="1:15" customHeight="1" ht="13.5">
      <c r="A3" s="4" t="s">
        <v>2</v>
      </c>
      <c r="B3" s="4"/>
      <c r="C3" s="4"/>
      <c r="D3" s="4"/>
      <c r="E3" s="4"/>
      <c r="F3" s="7"/>
      <c r="G3" s="130"/>
      <c r="H3" s="130"/>
      <c r="I3" s="3"/>
      <c r="J3" s="3"/>
      <c r="K3" s="3"/>
    </row>
    <row r="4" spans="1:15" customHeight="1" ht="12.75">
      <c r="A4" s="131" t="s">
        <v>3</v>
      </c>
      <c r="B4" s="131"/>
      <c r="C4" s="131"/>
      <c r="D4" s="131"/>
      <c r="E4" s="131"/>
      <c r="F4" s="131"/>
      <c r="G4" s="131"/>
      <c r="H4" s="131"/>
      <c r="I4" s="1"/>
      <c r="J4" s="1"/>
      <c r="K4" s="1"/>
    </row>
    <row r="5" spans="1:15" customHeight="1" ht="12.75">
      <c r="A5" s="131"/>
      <c r="B5" s="131"/>
      <c r="C5" s="131"/>
      <c r="D5" s="131"/>
      <c r="E5" s="131"/>
      <c r="F5" s="131"/>
      <c r="G5" s="131"/>
      <c r="H5" s="131"/>
      <c r="I5" s="1"/>
      <c r="J5" s="1"/>
      <c r="K5" s="1"/>
    </row>
    <row r="6" spans="1:15" customHeight="1" ht="16.5">
      <c r="A6" s="132" t="s">
        <v>4</v>
      </c>
      <c r="B6" s="132"/>
      <c r="C6" s="132"/>
      <c r="D6" s="132"/>
      <c r="E6" s="132"/>
      <c r="F6" s="132"/>
      <c r="G6" s="132"/>
      <c r="H6" s="132"/>
      <c r="I6" s="6"/>
      <c r="J6" s="6"/>
      <c r="K6" s="6"/>
    </row>
    <row r="7" spans="1:15" customHeight="1" ht="16.5">
      <c r="A7" s="13" t="s">
        <v>5</v>
      </c>
      <c r="B7" s="18" t="s">
        <v>6</v>
      </c>
      <c r="C7" s="19" t="s">
        <v>7</v>
      </c>
      <c r="D7" s="133"/>
      <c r="E7" s="133"/>
      <c r="F7" s="134"/>
      <c r="G7" s="13" t="s">
        <v>8</v>
      </c>
      <c r="H7" s="27">
        <v>1</v>
      </c>
      <c r="J7" s="5" t="s">
        <v>9</v>
      </c>
      <c r="K7" s="5"/>
      <c r="L7" s="5"/>
      <c r="M7" s="5"/>
      <c r="N7" s="5"/>
    </row>
    <row r="8" spans="1:15" customHeight="1" ht="16.5">
      <c r="A8" s="135" t="s">
        <v>10</v>
      </c>
      <c r="B8" s="136"/>
      <c r="C8" s="136"/>
      <c r="D8" s="136"/>
      <c r="E8" s="136"/>
      <c r="F8" s="136"/>
      <c r="G8" s="136" t="s">
        <v>11</v>
      </c>
      <c r="H8" s="137"/>
      <c r="J8" s="5"/>
      <c r="K8" s="5"/>
      <c r="L8" s="5"/>
      <c r="M8" s="5"/>
      <c r="N8" s="5"/>
    </row>
    <row r="9" spans="1:15" customHeight="1" ht="16.5">
      <c r="A9" s="138" t="s">
        <v>12</v>
      </c>
      <c r="B9" s="139"/>
      <c r="C9" s="139"/>
      <c r="D9" s="139"/>
      <c r="E9" s="139"/>
      <c r="F9" s="140"/>
      <c r="G9" s="141" t="s">
        <v>13</v>
      </c>
      <c r="H9" s="140"/>
      <c r="J9" s="5"/>
      <c r="K9" s="5"/>
      <c r="L9" s="5"/>
      <c r="M9" s="5"/>
      <c r="N9" s="5"/>
    </row>
    <row r="10" spans="1:15" customHeight="1" ht="16.5">
      <c r="A10" s="135" t="s">
        <v>14</v>
      </c>
      <c r="B10" s="136"/>
      <c r="C10" s="136"/>
      <c r="D10" s="136"/>
      <c r="E10" s="136"/>
      <c r="F10" s="136"/>
      <c r="G10" s="136"/>
      <c r="H10" s="137"/>
      <c r="J10" s="5"/>
      <c r="K10" s="5"/>
      <c r="L10" s="5"/>
      <c r="M10" s="5"/>
      <c r="N10" s="5"/>
    </row>
    <row r="11" spans="1:15" customHeight="1" ht="16.5">
      <c r="A11" s="138" t="s">
        <v>15</v>
      </c>
      <c r="B11" s="139"/>
      <c r="C11" s="139"/>
      <c r="D11" s="139"/>
      <c r="E11" s="139"/>
      <c r="F11" s="139"/>
      <c r="G11" s="139"/>
      <c r="H11" s="140"/>
      <c r="J11" s="5"/>
      <c r="K11" s="5"/>
      <c r="L11" s="5"/>
      <c r="M11" s="5"/>
      <c r="N11" s="5"/>
    </row>
    <row r="12" spans="1:15" customHeight="1" ht="16.5">
      <c r="A12" s="142" t="s">
        <v>16</v>
      </c>
      <c r="B12" s="142"/>
      <c r="C12" s="142"/>
      <c r="D12" s="142"/>
      <c r="E12" s="142"/>
      <c r="F12" s="142"/>
      <c r="G12" s="142"/>
      <c r="H12" s="142"/>
      <c r="J12" s="5"/>
      <c r="K12" s="5"/>
      <c r="L12" s="5"/>
      <c r="M12" s="5"/>
      <c r="N12" s="5"/>
    </row>
    <row r="13" spans="1:15" customHeight="1" ht="16.5">
      <c r="A13" s="143" t="s">
        <v>17</v>
      </c>
      <c r="B13" s="143"/>
      <c r="C13" s="143"/>
      <c r="D13" s="143"/>
      <c r="E13" s="143"/>
      <c r="F13" s="143"/>
      <c r="G13" s="19" t="s">
        <v>18</v>
      </c>
      <c r="H13" s="20"/>
      <c r="J13" s="5"/>
      <c r="K13" s="5"/>
      <c r="L13" s="5"/>
      <c r="M13" s="5"/>
      <c r="N13" s="5"/>
    </row>
    <row r="14" spans="1:15" customHeight="1" ht="16.5">
      <c r="A14" s="144"/>
      <c r="B14" s="144"/>
      <c r="C14" s="144"/>
      <c r="D14" s="144"/>
      <c r="E14" s="144"/>
      <c r="F14" s="144"/>
      <c r="G14" s="145" t="s">
        <v>19</v>
      </c>
      <c r="H14" s="146"/>
      <c r="J14" s="5"/>
      <c r="K14" s="5"/>
      <c r="L14" s="5"/>
      <c r="M14" s="5"/>
      <c r="N14" s="5"/>
    </row>
    <row r="15" spans="1:15" customHeight="1" ht="16.5">
      <c r="A15" s="143" t="s">
        <v>20</v>
      </c>
      <c r="B15" s="143"/>
      <c r="C15" s="143"/>
      <c r="D15" s="143"/>
      <c r="E15" s="143"/>
      <c r="F15" s="143"/>
      <c r="G15" s="19" t="s">
        <v>21</v>
      </c>
      <c r="H15" s="20"/>
      <c r="J15" s="5"/>
      <c r="K15" s="5"/>
      <c r="L15" s="5"/>
      <c r="M15" s="5"/>
      <c r="N15" s="5"/>
    </row>
    <row r="16" spans="1:15" customHeight="1" ht="16.5">
      <c r="A16" s="147"/>
      <c r="B16" s="147"/>
      <c r="C16" s="147"/>
      <c r="D16" s="147"/>
      <c r="E16" s="147"/>
      <c r="F16" s="147"/>
      <c r="G16" s="145"/>
      <c r="H16" s="146"/>
      <c r="L16" s="42"/>
      <c r="M16" s="42"/>
    </row>
    <row r="17" spans="1:15" customHeight="1" ht="16.5">
      <c r="A17" s="143" t="s">
        <v>22</v>
      </c>
      <c r="B17" s="143"/>
      <c r="C17" s="143"/>
      <c r="D17" s="143"/>
      <c r="E17" s="143"/>
      <c r="F17" s="143"/>
      <c r="G17" s="19" t="s">
        <v>23</v>
      </c>
      <c r="H17" s="20"/>
    </row>
    <row r="18" spans="1:15" customHeight="1" ht="16.5">
      <c r="A18" s="147"/>
      <c r="B18" s="147"/>
      <c r="C18" s="147"/>
      <c r="D18" s="147"/>
      <c r="E18" s="147"/>
      <c r="F18" s="147"/>
      <c r="G18" s="148"/>
      <c r="H18" s="149"/>
      <c r="J18" s="166" t="s">
        <v>24</v>
      </c>
      <c r="K18" s="166"/>
      <c r="L18" s="166"/>
      <c r="M18" s="166"/>
      <c r="N18" s="166"/>
    </row>
    <row r="19" spans="1:15" customHeight="1" ht="16.5">
      <c r="A19" s="150" t="s">
        <v>25</v>
      </c>
      <c r="B19" s="150"/>
      <c r="C19" s="150"/>
      <c r="D19" s="150"/>
      <c r="E19" s="150"/>
      <c r="F19" s="150"/>
      <c r="G19" s="150"/>
      <c r="H19" s="150"/>
      <c r="J19" s="166"/>
      <c r="K19" s="166"/>
      <c r="L19" s="166"/>
      <c r="M19" s="166"/>
      <c r="N19" s="166"/>
    </row>
    <row r="20" spans="1:15" customHeight="1" ht="16.5">
      <c r="A20" s="151">
        <v>1</v>
      </c>
      <c r="B20" s="152"/>
      <c r="C20" s="152"/>
      <c r="D20" s="152"/>
      <c r="E20" s="152"/>
      <c r="F20" s="152"/>
      <c r="G20" s="152"/>
      <c r="H20" s="153"/>
      <c r="J20" s="167" t="s">
        <v>26</v>
      </c>
      <c r="K20" s="167"/>
      <c r="L20" s="84" t="s">
        <v>27</v>
      </c>
      <c r="M20" s="84"/>
      <c r="N20" s="83"/>
    </row>
    <row r="21" spans="1:15" customHeight="1" ht="16.5">
      <c r="A21" s="8" t="s">
        <v>28</v>
      </c>
      <c r="B21" s="154" t="s">
        <v>29</v>
      </c>
      <c r="C21" s="155"/>
      <c r="D21" s="156"/>
      <c r="E21" s="38" t="s">
        <v>30</v>
      </c>
      <c r="F21" s="9" t="s">
        <v>31</v>
      </c>
      <c r="G21" s="9" t="s">
        <v>32</v>
      </c>
      <c r="H21" s="9" t="s">
        <v>33</v>
      </c>
      <c r="J21" s="82" t="s">
        <v>26</v>
      </c>
      <c r="K21" s="82" t="s">
        <v>34</v>
      </c>
      <c r="L21" s="89" t="s">
        <v>35</v>
      </c>
      <c r="M21" s="89" t="s">
        <v>36</v>
      </c>
      <c r="N21" s="89" t="s">
        <v>37</v>
      </c>
      <c r="O21" s="73"/>
    </row>
    <row r="22" spans="1:15" customHeight="1" ht="16.5">
      <c r="A22" s="25" t="s">
        <v>38</v>
      </c>
      <c r="B22" s="31" t="s">
        <v>39</v>
      </c>
      <c r="C22" s="39"/>
      <c r="D22" s="40"/>
      <c r="E22" s="25" t="s">
        <v>40</v>
      </c>
      <c r="F22" s="36">
        <v>1</v>
      </c>
      <c r="G22" s="43">
        <v>3318</v>
      </c>
      <c r="H22" s="43">
        <f>G22*F22</f>
        <v>3318</v>
      </c>
      <c r="J22" s="86"/>
      <c r="K22" s="85">
        <f>F22*J22</f>
        <v>0</v>
      </c>
      <c r="L22" s="74">
        <f>J22*M22+J22</f>
        <v>0</v>
      </c>
      <c r="M22" s="91"/>
      <c r="N22" s="90" t="str">
        <f>(H22-K22)/K22</f>
        <v>0</v>
      </c>
    </row>
    <row r="23" spans="1:15" customHeight="1" ht="16.5">
      <c r="A23" s="25" t="s">
        <v>41</v>
      </c>
      <c r="B23" s="31"/>
      <c r="C23" s="39"/>
      <c r="D23" s="40"/>
      <c r="E23" s="25"/>
      <c r="F23" s="36"/>
      <c r="G23" s="43"/>
      <c r="H23" s="43"/>
      <c r="J23" s="86"/>
      <c r="K23" s="85"/>
      <c r="L23" s="74"/>
      <c r="M23" s="91"/>
      <c r="N23" s="90"/>
    </row>
    <row r="24" spans="1:15" customHeight="1" ht="16.5">
      <c r="A24" s="25" t="s">
        <v>42</v>
      </c>
      <c r="B24" s="31"/>
      <c r="C24" s="39"/>
      <c r="D24" s="40"/>
      <c r="E24" s="25"/>
      <c r="F24" s="36"/>
      <c r="G24" s="43"/>
      <c r="H24" s="43"/>
      <c r="J24" s="86"/>
      <c r="K24" s="85"/>
      <c r="L24" s="74"/>
      <c r="M24" s="91"/>
      <c r="N24" s="90"/>
    </row>
    <row r="25" spans="1:15" customHeight="1" ht="16.5">
      <c r="A25" s="25" t="s">
        <v>43</v>
      </c>
      <c r="B25" s="31"/>
      <c r="C25" s="39"/>
      <c r="D25" s="40"/>
      <c r="E25" s="25"/>
      <c r="F25" s="36"/>
      <c r="G25" s="43"/>
      <c r="H25" s="43"/>
      <c r="J25" s="86"/>
      <c r="K25" s="85"/>
      <c r="L25" s="74"/>
      <c r="M25" s="91"/>
      <c r="N25" s="90"/>
    </row>
    <row r="26" spans="1:15" customHeight="1" ht="16.5">
      <c r="A26" s="25" t="s">
        <v>44</v>
      </c>
      <c r="B26" s="31"/>
      <c r="C26" s="39"/>
      <c r="D26" s="40"/>
      <c r="E26" s="25"/>
      <c r="F26" s="36"/>
      <c r="G26" s="43"/>
      <c r="H26" s="43"/>
      <c r="J26" s="86"/>
      <c r="K26" s="85"/>
      <c r="L26" s="74"/>
      <c r="M26" s="91"/>
      <c r="N26" s="90"/>
    </row>
    <row r="27" spans="1:15" customHeight="1" ht="16.5">
      <c r="A27" s="25" t="s">
        <v>45</v>
      </c>
      <c r="B27" s="31"/>
      <c r="C27" s="39"/>
      <c r="D27" s="40"/>
      <c r="E27" s="25"/>
      <c r="F27" s="36"/>
      <c r="G27" s="43"/>
      <c r="H27" s="43"/>
      <c r="J27" s="86"/>
      <c r="K27" s="85"/>
      <c r="L27" s="74"/>
      <c r="M27" s="91"/>
      <c r="N27" s="90"/>
    </row>
    <row r="28" spans="1:15" customHeight="1" ht="16.5">
      <c r="A28" s="25" t="s">
        <v>46</v>
      </c>
      <c r="B28" s="31"/>
      <c r="C28" s="39"/>
      <c r="D28" s="40"/>
      <c r="E28" s="25"/>
      <c r="F28" s="36"/>
      <c r="G28" s="43"/>
      <c r="H28" s="43"/>
      <c r="J28" s="86"/>
      <c r="K28" s="85"/>
      <c r="L28" s="74"/>
      <c r="M28" s="91"/>
      <c r="N28" s="90"/>
    </row>
    <row r="29" spans="1:15" customHeight="1" ht="16.5">
      <c r="A29" s="25" t="s">
        <v>47</v>
      </c>
      <c r="B29" s="31"/>
      <c r="C29" s="39"/>
      <c r="D29" s="40"/>
      <c r="E29" s="25"/>
      <c r="F29" s="36"/>
      <c r="G29" s="43"/>
      <c r="H29" s="43"/>
      <c r="J29" s="86"/>
      <c r="K29" s="85"/>
      <c r="L29" s="74"/>
      <c r="M29" s="91"/>
      <c r="N29" s="90"/>
    </row>
    <row r="30" spans="1:15" customHeight="1" ht="16.5">
      <c r="A30" s="25" t="s">
        <v>48</v>
      </c>
      <c r="B30" s="31"/>
      <c r="C30" s="39"/>
      <c r="D30" s="40"/>
      <c r="E30" s="25"/>
      <c r="F30" s="36"/>
      <c r="G30" s="43"/>
      <c r="H30" s="43"/>
      <c r="J30" s="86"/>
      <c r="K30" s="85"/>
      <c r="L30" s="74"/>
      <c r="M30" s="91"/>
      <c r="N30" s="90"/>
    </row>
    <row r="31" spans="1:15" customHeight="1" ht="16.5">
      <c r="A31" s="25" t="s">
        <v>49</v>
      </c>
      <c r="B31" s="31"/>
      <c r="C31" s="39"/>
      <c r="D31" s="40"/>
      <c r="E31" s="25"/>
      <c r="F31" s="36"/>
      <c r="G31" s="43"/>
      <c r="H31" s="43"/>
      <c r="J31" s="86"/>
      <c r="K31" s="85"/>
      <c r="L31" s="74"/>
      <c r="M31" s="91"/>
      <c r="N31" s="90"/>
    </row>
    <row r="32" spans="1:15" customHeight="1" ht="16.5">
      <c r="A32" s="160"/>
      <c r="B32" s="161"/>
      <c r="C32" s="161"/>
      <c r="D32" s="161"/>
      <c r="E32" s="161"/>
      <c r="F32" s="161"/>
      <c r="G32" s="161"/>
      <c r="H32" s="41">
        <f>SUM(H22:H31)</f>
        <v>3318</v>
      </c>
      <c r="J32" s="87" t="s">
        <v>50</v>
      </c>
      <c r="K32" s="88">
        <f>SUM(K22:K31)</f>
        <v>0</v>
      </c>
    </row>
    <row r="33" spans="1:15" customHeight="1" ht="16.5">
      <c r="A33" s="162" t="s">
        <v>51</v>
      </c>
      <c r="B33" s="162"/>
      <c r="C33" s="162"/>
      <c r="D33" s="162"/>
      <c r="E33" s="162"/>
      <c r="F33" s="162"/>
      <c r="G33" s="162"/>
      <c r="H33" s="162"/>
    </row>
    <row r="34" spans="1:15" customHeight="1" ht="16.5">
      <c r="A34" s="143"/>
      <c r="B34" s="143"/>
      <c r="C34" s="143"/>
      <c r="D34" s="143"/>
      <c r="E34" s="143"/>
      <c r="F34" s="143"/>
      <c r="G34" s="143"/>
      <c r="H34" s="143"/>
      <c r="J34" s="168" t="s">
        <v>52</v>
      </c>
      <c r="K34" s="168"/>
      <c r="L34" s="168"/>
      <c r="M34" s="168"/>
      <c r="N34" s="168"/>
    </row>
    <row r="35" spans="1:15" customHeight="1" ht="16.5">
      <c r="A35" s="138"/>
      <c r="B35" s="139"/>
      <c r="C35" s="139"/>
      <c r="D35" s="139"/>
      <c r="E35" s="139"/>
      <c r="F35" s="139"/>
      <c r="G35" s="139"/>
      <c r="H35" s="140"/>
      <c r="J35" s="75" t="s">
        <v>53</v>
      </c>
      <c r="K35" s="76">
        <f>H32*10%</f>
        <v>331.8</v>
      </c>
      <c r="M35" s="169" t="s">
        <v>54</v>
      </c>
      <c r="N35" s="169"/>
    </row>
    <row r="36" spans="1:15" customHeight="1" ht="16.5">
      <c r="A36" s="163" t="s">
        <v>55</v>
      </c>
      <c r="B36" s="164"/>
      <c r="C36" s="164"/>
      <c r="D36" s="164"/>
      <c r="E36" s="164"/>
      <c r="F36" s="165"/>
      <c r="G36" s="12" t="s">
        <v>56</v>
      </c>
      <c r="H36" s="17" t="s">
        <v>57</v>
      </c>
      <c r="J36" s="75" t="s">
        <v>58</v>
      </c>
      <c r="K36" s="76">
        <f>H32*3%</f>
        <v>99.54</v>
      </c>
      <c r="M36" s="93">
        <v>0.35</v>
      </c>
      <c r="N36" s="94" t="s">
        <v>59</v>
      </c>
    </row>
    <row r="37" spans="1:15" customHeight="1" ht="16.5">
      <c r="A37" s="138"/>
      <c r="B37" s="139"/>
      <c r="C37" s="139"/>
      <c r="D37" s="139"/>
      <c r="E37" s="139"/>
      <c r="F37" s="140"/>
      <c r="G37" s="21"/>
      <c r="H37" s="22"/>
      <c r="J37" s="77" t="s">
        <v>60</v>
      </c>
      <c r="K37" s="76">
        <f>H32*9%</f>
        <v>298.62</v>
      </c>
      <c r="M37" s="93">
        <v>0.4</v>
      </c>
      <c r="N37" s="94" t="s">
        <v>61</v>
      </c>
    </row>
    <row r="38" spans="1:15" customHeight="1" ht="16.5">
      <c r="A38" s="13" t="s">
        <v>62</v>
      </c>
      <c r="B38" s="14"/>
      <c r="C38" s="14"/>
      <c r="D38" s="14"/>
      <c r="E38" s="14"/>
      <c r="F38" s="14" t="s">
        <v>63</v>
      </c>
      <c r="G38" s="14"/>
      <c r="H38" s="15"/>
      <c r="J38" s="77" t="s">
        <v>64</v>
      </c>
      <c r="K38" s="76"/>
      <c r="M38" s="93">
        <v>0.5</v>
      </c>
      <c r="N38" s="94" t="s">
        <v>65</v>
      </c>
    </row>
    <row r="39" spans="1:15" customHeight="1" ht="16.5">
      <c r="A39" s="138"/>
      <c r="B39" s="139"/>
      <c r="C39" s="139"/>
      <c r="D39" s="139"/>
      <c r="E39" s="140"/>
      <c r="F39" s="138"/>
      <c r="G39" s="139"/>
      <c r="H39" s="140"/>
      <c r="J39" s="77" t="s">
        <v>66</v>
      </c>
      <c r="K39" s="76"/>
    </row>
    <row r="40" spans="1:15" customHeight="1" ht="16.5">
      <c r="A40" s="13" t="s">
        <v>67</v>
      </c>
      <c r="B40" s="14"/>
      <c r="C40" s="14"/>
      <c r="D40" s="14"/>
      <c r="E40" s="14"/>
      <c r="F40" s="14"/>
      <c r="G40" s="14"/>
      <c r="H40" s="15"/>
      <c r="J40" s="77" t="s">
        <v>68</v>
      </c>
      <c r="K40" s="78">
        <f>K32+K35+K36+K37+K38+K39</f>
        <v>729.96</v>
      </c>
    </row>
    <row r="41" spans="1:15" customHeight="1" ht="16.5">
      <c r="A41" s="157"/>
      <c r="B41" s="158"/>
      <c r="C41" s="158"/>
      <c r="D41" s="158"/>
      <c r="E41" s="158"/>
      <c r="F41" s="158"/>
      <c r="G41" s="158"/>
      <c r="H41" s="159"/>
      <c r="J41" s="79" t="s">
        <v>69</v>
      </c>
      <c r="K41" s="80">
        <f>H32-K40</f>
        <v>2588.04</v>
      </c>
    </row>
    <row r="42" spans="1:15" customHeight="1" ht="16.5">
      <c r="A42" s="13" t="s">
        <v>62</v>
      </c>
      <c r="B42" s="14"/>
      <c r="C42" s="14"/>
      <c r="D42" s="14"/>
      <c r="E42" s="14"/>
      <c r="F42" s="14" t="s">
        <v>63</v>
      </c>
      <c r="G42" s="14"/>
      <c r="H42" s="15"/>
      <c r="I42" s="16"/>
      <c r="J42" s="79" t="s">
        <v>70</v>
      </c>
      <c r="K42" s="81">
        <f>(H32-K40)/K40</f>
        <v>3.5454545454545</v>
      </c>
    </row>
    <row r="43" spans="1:15" customHeight="1" ht="16.5">
      <c r="A43" s="138"/>
      <c r="B43" s="139"/>
      <c r="C43" s="139"/>
      <c r="D43" s="139"/>
      <c r="E43" s="140"/>
      <c r="F43" s="138"/>
      <c r="G43" s="139"/>
      <c r="H43" s="140"/>
      <c r="M43" s="42"/>
    </row>
    <row r="44" spans="1:15" customHeight="1" ht="16.5">
      <c r="A44" s="13" t="s">
        <v>67</v>
      </c>
      <c r="B44" s="14"/>
      <c r="C44" s="14"/>
      <c r="D44" s="14"/>
      <c r="E44" s="14"/>
      <c r="F44" s="14"/>
      <c r="G44" s="14"/>
      <c r="H44" s="15"/>
    </row>
    <row r="45" spans="1:15" customHeight="1" ht="18">
      <c r="A45" s="157"/>
      <c r="B45" s="158"/>
      <c r="C45" s="158"/>
      <c r="D45" s="158"/>
      <c r="E45" s="158"/>
      <c r="F45" s="158"/>
      <c r="G45" s="158"/>
      <c r="H45" s="159"/>
    </row>
    <row r="46" spans="1:15" customHeight="1" ht="12.75">
      <c r="A46" s="42"/>
      <c r="B46" s="42"/>
      <c r="C46" s="42"/>
      <c r="D46" s="42"/>
      <c r="E46" s="42"/>
      <c r="F46" s="42"/>
      <c r="G46" s="42"/>
      <c r="H46" s="42"/>
    </row>
    <row r="51" spans="1:15" customHeight="1" ht="12.75">
      <c r="N51" s="76"/>
      <c r="O51" s="9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J18:N19"/>
    <mergeCell ref="J20:K20"/>
    <mergeCell ref="J34:N34"/>
    <mergeCell ref="A39:E39"/>
    <mergeCell ref="F39:H39"/>
    <mergeCell ref="A41:H41"/>
    <mergeCell ref="M35:N35"/>
    <mergeCell ref="A43:E43"/>
    <mergeCell ref="F43:H43"/>
    <mergeCell ref="A45:H45"/>
    <mergeCell ref="A32:G32"/>
    <mergeCell ref="A33:H33"/>
    <mergeCell ref="A34:H34"/>
    <mergeCell ref="A35:H35"/>
    <mergeCell ref="A36:F36"/>
    <mergeCell ref="A37:F37"/>
    <mergeCell ref="A17:F17"/>
    <mergeCell ref="A18:F18"/>
    <mergeCell ref="G18:H18"/>
    <mergeCell ref="A19:H19"/>
    <mergeCell ref="A20:H20"/>
    <mergeCell ref="B21:D21"/>
    <mergeCell ref="A12:H12"/>
    <mergeCell ref="A13:F13"/>
    <mergeCell ref="A14:F14"/>
    <mergeCell ref="G14:H14"/>
    <mergeCell ref="A15:F15"/>
    <mergeCell ref="A16:F16"/>
    <mergeCell ref="G16:H16"/>
    <mergeCell ref="A8:F8"/>
    <mergeCell ref="G8:H8"/>
    <mergeCell ref="A9:F9"/>
    <mergeCell ref="G9:H9"/>
    <mergeCell ref="A10:H10"/>
    <mergeCell ref="A11:H11"/>
    <mergeCell ref="A1:H1"/>
    <mergeCell ref="B2:F2"/>
    <mergeCell ref="G2:H3"/>
    <mergeCell ref="A4:H5"/>
    <mergeCell ref="A6:H6"/>
    <mergeCell ref="D7:F7"/>
  </mergeCells>
  <dataValidations count="5">
    <dataValidation type="list" errorStyle="stop" operator="between" allowBlank="1" showDropDown="0" showInputMessage="1" showErrorMessage="1" sqref="D7">
      <formula1>"SANTAREM, PRAINHA,CURUA,OBIDOS"</formula1>
    </dataValidation>
    <dataValidation type="list" errorStyle="stop" operator="between" allowBlank="1" showDropDown="0" showInputMessage="1" showErrorMessage="1" sqref="E7">
      <formula1>"SANTAREM, PRAINHA,CURUA,OBIDOS"</formula1>
    </dataValidation>
    <dataValidation type="list" errorStyle="stop" operator="between" allowBlank="1" showDropDown="0" showInputMessage="1" showErrorMessage="1" sqref="F7">
      <formula1>"SANTAREM, PRAINHA,CURUA,OBIDOS"</formula1>
    </dataValidation>
    <dataValidation type="list" errorStyle="stop" operator="between" allowBlank="1" showDropDown="0" showInputMessage="1" showErrorMessage="1" sqref="K39">
      <formula1>"0,10,20,30"</formula1>
    </dataValidation>
    <dataValidation type="list" errorStyle="stop" operator="between" allowBlank="1" showDropDown="0" showInputMessage="1" showErrorMessage="1" sqref="M22:M31">
      <formula1>"70%,80%,90%,100%,110%,120%,130%,140%,150%,160%,170%,180%,190%,200%,220%,250%,300%"</formula1>
    </dataValidation>
  </dataValidations>
  <printOptions gridLines="false" gridLinesSet="true" horizontalCentered="true" verticalCentered="true"/>
  <pageMargins left="0" right="0" top="0" bottom="0" header="0.31496062992126" footer="0.31496062992126"/>
  <pageSetup paperSize="9" orientation="portrait" scale="72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8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0" workbookViewId="0" zoomScaleNormal="85" view="pageBreakPreview" showGridLines="true" showRowColHeaders="1">
      <selection activeCell="B23" sqref="B23:H30"/>
    </sheetView>
  </sheetViews>
  <sheetFormatPr customHeight="true" defaultRowHeight="15" defaultColWidth="9.140625" outlineLevelRow="0" outlineLevelCol="0"/>
  <cols>
    <col min="1" max="1" width="7.42578125" customWidth="true" style="45"/>
    <col min="2" max="2" width="9.140625" style="45"/>
    <col min="3" max="3" width="13.5703125" customWidth="true" style="45"/>
    <col min="4" max="4" width="29.42578125" customWidth="true" style="45"/>
    <col min="5" max="5" width="12.7109375" customWidth="true" style="45"/>
    <col min="6" max="6" width="12.42578125" customWidth="true" style="45"/>
    <col min="7" max="7" width="15.42578125" customWidth="true" style="45"/>
    <col min="8" max="8" width="17" customWidth="true" style="45"/>
    <col min="9" max="9" width="9.140625" style="45"/>
    <col min="10" max="10" width="12.85546875" hidden="true" customWidth="true" style="45"/>
    <col min="11" max="11" width="12.140625" customWidth="true" style="96"/>
    <col min="12" max="12" width="24.85546875" customWidth="true" style="99"/>
    <col min="13" max="13" width="12.140625" customWidth="true" style="45"/>
  </cols>
  <sheetData>
    <row r="1" spans="1:13" customHeight="1" ht="5.25">
      <c r="A1" s="170"/>
      <c r="B1" s="170"/>
      <c r="C1" s="170"/>
      <c r="D1" s="170"/>
      <c r="E1" s="170"/>
      <c r="F1" s="170"/>
      <c r="G1" s="170"/>
      <c r="H1" s="170"/>
      <c r="I1" s="44"/>
      <c r="J1" s="44"/>
    </row>
    <row r="2" spans="1:13" customHeight="1" ht="21">
      <c r="B2" s="171" t="s">
        <v>0</v>
      </c>
      <c r="C2" s="171"/>
      <c r="D2" s="171"/>
      <c r="E2" s="171"/>
      <c r="F2" s="171"/>
      <c r="G2" s="172" t="s">
        <v>1</v>
      </c>
      <c r="H2" s="172"/>
      <c r="I2" s="46"/>
      <c r="J2" s="46"/>
    </row>
    <row r="3" spans="1:13" customHeight="1" ht="21">
      <c r="A3" s="47" t="s">
        <v>71</v>
      </c>
      <c r="B3" s="48"/>
      <c r="C3" s="48"/>
      <c r="D3" s="47"/>
      <c r="E3" s="47"/>
      <c r="F3" s="47"/>
      <c r="G3" s="172"/>
      <c r="H3" s="172"/>
      <c r="I3" s="49"/>
      <c r="J3" s="49"/>
    </row>
    <row r="4" spans="1:13" customHeight="1" ht="15.75" s="57" customFormat="1">
      <c r="A4" s="173" t="s">
        <v>3</v>
      </c>
      <c r="B4" s="173"/>
      <c r="C4" s="173"/>
      <c r="D4" s="173"/>
      <c r="E4" s="173"/>
      <c r="F4" s="173"/>
      <c r="G4" s="173"/>
      <c r="H4" s="173"/>
      <c r="I4" s="56"/>
      <c r="J4" s="56"/>
      <c r="K4" s="97"/>
      <c r="L4" s="100"/>
    </row>
    <row r="5" spans="1:13" customHeight="1" ht="13.5" s="57" customFormat="1">
      <c r="A5" s="173"/>
      <c r="B5" s="173"/>
      <c r="C5" s="173"/>
      <c r="D5" s="173"/>
      <c r="E5" s="173"/>
      <c r="F5" s="173"/>
      <c r="G5" s="173"/>
      <c r="H5" s="173"/>
      <c r="I5" s="56"/>
      <c r="J5" s="56"/>
      <c r="K5" s="97"/>
      <c r="L5" s="100"/>
    </row>
    <row r="6" spans="1:13" customHeight="1" ht="15.75" s="57" customFormat="1">
      <c r="A6" s="174" t="s">
        <v>4</v>
      </c>
      <c r="B6" s="174"/>
      <c r="C6" s="174"/>
      <c r="D6" s="174"/>
      <c r="E6" s="174"/>
      <c r="F6" s="174"/>
      <c r="G6" s="174"/>
      <c r="H6" s="174"/>
      <c r="I6" s="58"/>
      <c r="J6" s="58"/>
      <c r="K6" s="97"/>
      <c r="L6" s="100"/>
    </row>
    <row r="7" spans="1:13" customHeight="1" ht="15.75" s="57" customFormat="1">
      <c r="A7" s="50" t="s">
        <v>5</v>
      </c>
      <c r="B7" s="51" t="s">
        <v>6</v>
      </c>
      <c r="C7" s="52" t="s">
        <v>7</v>
      </c>
      <c r="D7" s="175"/>
      <c r="E7" s="175"/>
      <c r="F7" s="176"/>
      <c r="G7" s="50" t="s">
        <v>8</v>
      </c>
      <c r="H7" s="53">
        <v>2</v>
      </c>
      <c r="K7" s="97" t="s">
        <v>72</v>
      </c>
      <c r="L7" s="100" t="s">
        <v>9</v>
      </c>
    </row>
    <row r="8" spans="1:13" customHeight="1" ht="15.75" s="57" customFormat="1">
      <c r="A8" s="177"/>
      <c r="B8" s="178"/>
      <c r="C8" s="178"/>
      <c r="D8" s="178"/>
      <c r="E8" s="178"/>
      <c r="F8" s="178"/>
      <c r="G8" s="178"/>
      <c r="H8" s="179"/>
      <c r="K8" s="97"/>
      <c r="L8" s="100"/>
    </row>
    <row r="9" spans="1:13" customHeight="1" ht="15.75" s="57" customFormat="1">
      <c r="A9" s="180" t="str">
        <f>PADRÃO!A9</f>
        <v>CONSELHO ESCOLAR DA ESCOLA RAQUEL FREIRE PAES</v>
      </c>
      <c r="B9" s="181"/>
      <c r="C9" s="181"/>
      <c r="D9" s="181"/>
      <c r="E9" s="181"/>
      <c r="F9" s="182"/>
      <c r="G9" s="183" t="str">
        <f>PADRÃO!G9</f>
        <v>02.522.102/0001-00</v>
      </c>
      <c r="H9" s="182"/>
      <c r="K9" s="97"/>
      <c r="L9" s="100"/>
    </row>
    <row r="10" spans="1:13" customHeight="1" ht="15.75" s="57" customFormat="1">
      <c r="A10" s="177" t="s">
        <v>14</v>
      </c>
      <c r="B10" s="178"/>
      <c r="C10" s="178"/>
      <c r="D10" s="178"/>
      <c r="E10" s="178"/>
      <c r="F10" s="178"/>
      <c r="G10" s="178"/>
      <c r="H10" s="179"/>
      <c r="K10" s="97"/>
      <c r="L10" s="100"/>
    </row>
    <row r="11" spans="1:13" customHeight="1" ht="15.75" s="57" customFormat="1">
      <c r="A11" s="180" t="s">
        <v>73</v>
      </c>
      <c r="B11" s="181"/>
      <c r="C11" s="181"/>
      <c r="D11" s="181"/>
      <c r="E11" s="181"/>
      <c r="F11" s="181"/>
      <c r="G11" s="181"/>
      <c r="H11" s="182"/>
      <c r="K11" s="97"/>
      <c r="L11" s="100"/>
    </row>
    <row r="12" spans="1:13" customHeight="1" ht="15.75" s="57" customFormat="1">
      <c r="A12" s="184" t="s">
        <v>16</v>
      </c>
      <c r="B12" s="184"/>
      <c r="C12" s="184"/>
      <c r="D12" s="184"/>
      <c r="E12" s="184"/>
      <c r="F12" s="184"/>
      <c r="G12" s="184"/>
      <c r="H12" s="184"/>
      <c r="J12" s="57" t="s">
        <v>74</v>
      </c>
      <c r="K12" s="97"/>
      <c r="L12" s="100" t="s">
        <v>75</v>
      </c>
    </row>
    <row r="13" spans="1:13" customHeight="1" ht="15.75" s="57" customFormat="1">
      <c r="A13" s="185" t="s">
        <v>17</v>
      </c>
      <c r="B13" s="185"/>
      <c r="C13" s="185"/>
      <c r="D13" s="185"/>
      <c r="E13" s="185"/>
      <c r="F13" s="185"/>
      <c r="G13" s="52" t="s">
        <v>18</v>
      </c>
      <c r="H13" s="54"/>
      <c r="K13" s="97"/>
      <c r="L13" s="100" t="s">
        <v>76</v>
      </c>
    </row>
    <row r="14" spans="1:13" customHeight="1" ht="15.75" s="57" customFormat="1">
      <c r="A14" s="186"/>
      <c r="B14" s="186"/>
      <c r="C14" s="186"/>
      <c r="D14" s="186"/>
      <c r="E14" s="186"/>
      <c r="F14" s="186"/>
      <c r="G14" s="187" t="str">
        <f>PADRÃO!G14</f>
        <v>PRESIDENTE DO CONSELHO</v>
      </c>
      <c r="H14" s="188"/>
      <c r="K14" s="97"/>
      <c r="L14" s="100"/>
    </row>
    <row r="15" spans="1:13" customHeight="1" ht="15.75" s="57" customFormat="1">
      <c r="A15" s="185" t="s">
        <v>20</v>
      </c>
      <c r="B15" s="185"/>
      <c r="C15" s="185"/>
      <c r="D15" s="185"/>
      <c r="E15" s="185"/>
      <c r="F15" s="185"/>
      <c r="G15" s="52" t="s">
        <v>21</v>
      </c>
      <c r="H15" s="54"/>
      <c r="K15" s="97"/>
      <c r="L15" s="100"/>
    </row>
    <row r="16" spans="1:13" customHeight="1" ht="15.75" s="57" customFormat="1">
      <c r="A16" s="186"/>
      <c r="B16" s="186"/>
      <c r="C16" s="186"/>
      <c r="D16" s="186"/>
      <c r="E16" s="186"/>
      <c r="F16" s="186"/>
      <c r="G16" s="187"/>
      <c r="H16" s="188"/>
      <c r="K16" s="97"/>
      <c r="L16" s="100"/>
    </row>
    <row r="17" spans="1:13" customHeight="1" ht="15.75" s="57" customFormat="1">
      <c r="A17" s="185" t="s">
        <v>22</v>
      </c>
      <c r="B17" s="185"/>
      <c r="C17" s="185"/>
      <c r="D17" s="185"/>
      <c r="E17" s="185"/>
      <c r="F17" s="185"/>
      <c r="G17" s="52" t="s">
        <v>23</v>
      </c>
      <c r="H17" s="54"/>
      <c r="K17" s="97"/>
      <c r="L17" s="100"/>
    </row>
    <row r="18" spans="1:13" customHeight="1" ht="15.75" s="57" customFormat="1">
      <c r="A18" s="186"/>
      <c r="B18" s="186"/>
      <c r="C18" s="186"/>
      <c r="D18" s="186"/>
      <c r="E18" s="186"/>
      <c r="F18" s="186"/>
      <c r="G18" s="189"/>
      <c r="H18" s="188"/>
      <c r="K18" s="97"/>
      <c r="L18" s="100"/>
    </row>
    <row r="19" spans="1:13" customHeight="1" ht="15.75" s="57" customFormat="1">
      <c r="A19" s="184" t="s">
        <v>25</v>
      </c>
      <c r="B19" s="184"/>
      <c r="C19" s="184"/>
      <c r="D19" s="184"/>
      <c r="E19" s="184"/>
      <c r="F19" s="184"/>
      <c r="G19" s="184"/>
      <c r="H19" s="184"/>
      <c r="K19" s="97"/>
      <c r="L19" s="100"/>
    </row>
    <row r="20" spans="1:13" customHeight="1" ht="15.75" s="57" customFormat="1">
      <c r="A20" s="177">
        <v>1</v>
      </c>
      <c r="B20" s="178"/>
      <c r="C20" s="178"/>
      <c r="D20" s="178"/>
      <c r="E20" s="178"/>
      <c r="F20" s="178"/>
      <c r="G20" s="178"/>
      <c r="H20" s="179"/>
      <c r="K20" s="97"/>
      <c r="L20" s="100"/>
    </row>
    <row r="21" spans="1:13" customHeight="1" ht="15.75" s="57" customFormat="1">
      <c r="A21" s="59" t="s">
        <v>28</v>
      </c>
      <c r="B21" s="177" t="s">
        <v>29</v>
      </c>
      <c r="C21" s="178"/>
      <c r="D21" s="179"/>
      <c r="E21" s="60" t="s">
        <v>30</v>
      </c>
      <c r="F21" s="61" t="s">
        <v>31</v>
      </c>
      <c r="G21" s="61" t="s">
        <v>32</v>
      </c>
      <c r="H21" s="61" t="s">
        <v>33</v>
      </c>
      <c r="K21" s="97"/>
      <c r="L21" s="100"/>
    </row>
    <row r="22" spans="1:13" customHeight="1" ht="15.75" s="57" customFormat="1">
      <c r="A22" s="62" t="s">
        <v>38</v>
      </c>
      <c r="B22" s="63" t="str">
        <f>PADRÃO!B22</f>
        <v>CAIXA AMP JBL PARTY BOX ENCORE C/2 MIC</v>
      </c>
      <c r="C22" s="64"/>
      <c r="D22" s="65"/>
      <c r="E22" s="62" t="str">
        <f>PADRÃO!E22</f>
        <v>UN</v>
      </c>
      <c r="F22" s="66">
        <f>PADRÃO!F22</f>
        <v>1</v>
      </c>
      <c r="G22" s="67">
        <f>M22</f>
        <v>3351.18</v>
      </c>
      <c r="H22" s="67">
        <f>G22*F22</f>
        <v>3351.18</v>
      </c>
      <c r="J22" s="67">
        <v>5.89</v>
      </c>
      <c r="K22" s="97">
        <f>PADRÃO!G22</f>
        <v>3318</v>
      </c>
      <c r="L22" s="100">
        <v>1</v>
      </c>
      <c r="M22" s="98">
        <f>K22*L22/100+K22</f>
        <v>3351.18</v>
      </c>
    </row>
    <row r="23" spans="1:13" customHeight="1" ht="15.75" s="57" customFormat="1">
      <c r="A23" s="62" t="s">
        <v>41</v>
      </c>
      <c r="B23" s="63"/>
      <c r="C23" s="64"/>
      <c r="D23" s="65"/>
      <c r="E23" s="62"/>
      <c r="F23" s="66"/>
      <c r="G23" s="67"/>
      <c r="H23" s="67"/>
      <c r="J23" s="67">
        <v>5.89</v>
      </c>
      <c r="K23" s="97">
        <f>PADRÃO!G23</f>
        <v/>
      </c>
      <c r="L23" s="100">
        <v>1</v>
      </c>
      <c r="M23" s="98">
        <f>K23*L23/100+K23</f>
        <v>0</v>
      </c>
    </row>
    <row r="24" spans="1:13" customHeight="1" ht="15.75" s="57" customFormat="1">
      <c r="A24" s="62" t="s">
        <v>42</v>
      </c>
      <c r="B24" s="63"/>
      <c r="C24" s="64"/>
      <c r="D24" s="65"/>
      <c r="E24" s="62"/>
      <c r="F24" s="66"/>
      <c r="G24" s="67"/>
      <c r="H24" s="67"/>
      <c r="J24" s="67"/>
      <c r="K24" s="97">
        <f>PADRÃO!G24</f>
        <v/>
      </c>
      <c r="L24" s="100">
        <v>2</v>
      </c>
      <c r="M24" s="98">
        <f>K24*L24/100+K24</f>
        <v>0</v>
      </c>
    </row>
    <row r="25" spans="1:13" customHeight="1" ht="15.75" s="57" customFormat="1">
      <c r="A25" s="62" t="s">
        <v>43</v>
      </c>
      <c r="B25" s="63"/>
      <c r="C25" s="64"/>
      <c r="D25" s="65"/>
      <c r="E25" s="62"/>
      <c r="F25" s="66"/>
      <c r="G25" s="67"/>
      <c r="H25" s="67"/>
      <c r="J25" s="67"/>
      <c r="K25" s="97">
        <f>PADRÃO!G25</f>
        <v/>
      </c>
      <c r="L25" s="100">
        <v>3</v>
      </c>
      <c r="M25" s="98">
        <f>K25*L25/100+K25</f>
        <v>0</v>
      </c>
    </row>
    <row r="26" spans="1:13" customHeight="1" ht="15.75" s="57" customFormat="1">
      <c r="A26" s="62" t="s">
        <v>44</v>
      </c>
      <c r="B26" s="63"/>
      <c r="C26" s="64"/>
      <c r="D26" s="65"/>
      <c r="E26" s="62"/>
      <c r="F26" s="66"/>
      <c r="G26" s="67"/>
      <c r="H26" s="67"/>
      <c r="J26" s="67"/>
      <c r="K26" s="97">
        <f>PADRÃO!G26</f>
        <v/>
      </c>
      <c r="L26" s="100">
        <v>1</v>
      </c>
      <c r="M26" s="98">
        <f>K26*L26/100+K26</f>
        <v>0</v>
      </c>
    </row>
    <row r="27" spans="1:13" customHeight="1" ht="15.75" s="57" customFormat="1">
      <c r="A27" s="62" t="s">
        <v>45</v>
      </c>
      <c r="B27" s="63"/>
      <c r="C27" s="64"/>
      <c r="D27" s="65"/>
      <c r="E27" s="62"/>
      <c r="F27" s="66"/>
      <c r="G27" s="67"/>
      <c r="H27" s="67"/>
      <c r="J27" s="67"/>
      <c r="K27" s="97">
        <f>PADRÃO!G27</f>
        <v/>
      </c>
      <c r="L27" s="100">
        <v>2</v>
      </c>
      <c r="M27" s="98">
        <f>K27*L27/100+K27</f>
        <v>0</v>
      </c>
    </row>
    <row r="28" spans="1:13" customHeight="1" ht="15.75" s="57" customFormat="1">
      <c r="A28" s="62" t="s">
        <v>46</v>
      </c>
      <c r="B28" s="63"/>
      <c r="C28" s="64"/>
      <c r="D28" s="65"/>
      <c r="E28" s="62"/>
      <c r="F28" s="66"/>
      <c r="G28" s="67"/>
      <c r="H28" s="67"/>
      <c r="J28" s="67"/>
      <c r="K28" s="97">
        <f>PADRÃO!G28</f>
        <v/>
      </c>
      <c r="L28" s="100">
        <v>1</v>
      </c>
      <c r="M28" s="98">
        <f>K28*L28/100+K28</f>
        <v>0</v>
      </c>
    </row>
    <row r="29" spans="1:13" customHeight="1" ht="15.75" s="57" customFormat="1">
      <c r="A29" s="62" t="s">
        <v>47</v>
      </c>
      <c r="B29" s="63"/>
      <c r="C29" s="64"/>
      <c r="D29" s="65"/>
      <c r="E29" s="62"/>
      <c r="F29" s="66"/>
      <c r="G29" s="67"/>
      <c r="H29" s="67"/>
      <c r="J29" s="67"/>
      <c r="K29" s="97">
        <f>PADRÃO!G29</f>
        <v/>
      </c>
      <c r="L29" s="100">
        <v>4</v>
      </c>
      <c r="M29" s="98">
        <f>K29*L29/100+K29</f>
        <v>0</v>
      </c>
    </row>
    <row r="30" spans="1:13" customHeight="1" ht="15.75" s="57" customFormat="1">
      <c r="A30" s="62" t="s">
        <v>48</v>
      </c>
      <c r="B30" s="63"/>
      <c r="C30" s="64"/>
      <c r="D30" s="65"/>
      <c r="E30" s="62"/>
      <c r="F30" s="66"/>
      <c r="G30" s="67"/>
      <c r="H30" s="67"/>
      <c r="J30" s="67"/>
      <c r="K30" s="97">
        <f>PADRÃO!G30</f>
        <v/>
      </c>
      <c r="L30" s="100">
        <v>1</v>
      </c>
      <c r="M30" s="98">
        <f>K30*L30/100+K30</f>
        <v>0</v>
      </c>
    </row>
    <row r="31" spans="1:13" customHeight="1" ht="15.75" s="57" customFormat="1">
      <c r="A31" s="62" t="s">
        <v>49</v>
      </c>
      <c r="B31" s="63"/>
      <c r="C31" s="64"/>
      <c r="D31" s="65"/>
      <c r="E31" s="62"/>
      <c r="F31" s="66"/>
      <c r="G31" s="67"/>
      <c r="H31" s="67"/>
      <c r="J31" s="67"/>
      <c r="K31" s="97">
        <f>PADRÃO!G31</f>
        <v/>
      </c>
      <c r="L31" s="100">
        <v>1</v>
      </c>
      <c r="M31" s="98">
        <f>K31*L31/100+K31</f>
        <v>0</v>
      </c>
    </row>
    <row r="32" spans="1:13" customHeight="1" ht="15.75" s="57" customFormat="1">
      <c r="A32" s="190"/>
      <c r="B32" s="191"/>
      <c r="C32" s="191"/>
      <c r="D32" s="191"/>
      <c r="E32" s="191"/>
      <c r="F32" s="191"/>
      <c r="G32" s="192"/>
      <c r="H32" s="68">
        <f>SUM(H22:H31)</f>
        <v>3351.18</v>
      </c>
      <c r="K32" s="97">
        <f>PADRÃO!G45</f>
        <v/>
      </c>
      <c r="L32" s="100">
        <v>1</v>
      </c>
      <c r="M32" s="98">
        <f>K32*L32/100+K32</f>
        <v>0</v>
      </c>
    </row>
    <row r="33" spans="1:13" customHeight="1" ht="15.75" s="57" customFormat="1">
      <c r="A33" s="193" t="s">
        <v>51</v>
      </c>
      <c r="B33" s="193"/>
      <c r="C33" s="193"/>
      <c r="D33" s="193"/>
      <c r="E33" s="193"/>
      <c r="F33" s="193"/>
      <c r="G33" s="193"/>
      <c r="H33" s="193"/>
      <c r="K33" s="97">
        <f>PADRÃO!G46</f>
        <v/>
      </c>
      <c r="L33" s="100">
        <v>1</v>
      </c>
      <c r="M33" s="98">
        <f>K33*L33/100+K33</f>
        <v>0</v>
      </c>
    </row>
    <row r="34" spans="1:13" customHeight="1" ht="15.75" s="57" customFormat="1">
      <c r="A34" s="185"/>
      <c r="B34" s="185"/>
      <c r="C34" s="185"/>
      <c r="D34" s="185"/>
      <c r="E34" s="185"/>
      <c r="F34" s="185"/>
      <c r="G34" s="185"/>
      <c r="H34" s="185"/>
      <c r="K34" s="97">
        <f>PADRÃO!G47</f>
        <v>0</v>
      </c>
      <c r="L34" s="100">
        <v>1</v>
      </c>
      <c r="M34" s="98">
        <f>K34*L34/100+K34</f>
        <v>0</v>
      </c>
    </row>
    <row r="35" spans="1:13" customHeight="1" ht="15.75" s="57" customFormat="1">
      <c r="A35" s="180"/>
      <c r="B35" s="181"/>
      <c r="C35" s="181"/>
      <c r="D35" s="181"/>
      <c r="E35" s="181"/>
      <c r="F35" s="181"/>
      <c r="G35" s="181"/>
      <c r="H35" s="182"/>
      <c r="K35" s="97">
        <f>PADRÃO!G48</f>
        <v>0</v>
      </c>
      <c r="L35" s="100">
        <v>1</v>
      </c>
      <c r="M35" s="98">
        <f>K35*L35/100+K35</f>
        <v>0</v>
      </c>
    </row>
    <row r="36" spans="1:13" customHeight="1" ht="15.75" s="57" customFormat="1">
      <c r="A36" s="194" t="s">
        <v>55</v>
      </c>
      <c r="B36" s="195"/>
      <c r="C36" s="195"/>
      <c r="D36" s="195"/>
      <c r="E36" s="195"/>
      <c r="F36" s="196"/>
      <c r="G36" s="69" t="s">
        <v>56</v>
      </c>
      <c r="H36" s="61" t="s">
        <v>57</v>
      </c>
      <c r="K36" s="97"/>
      <c r="L36" s="100">
        <v>1</v>
      </c>
      <c r="M36" s="98">
        <f>K36*L36/100+K36</f>
        <v>0</v>
      </c>
    </row>
    <row r="37" spans="1:13" customHeight="1" ht="15.75" s="57" customFormat="1">
      <c r="A37" s="180"/>
      <c r="B37" s="181"/>
      <c r="C37" s="181"/>
      <c r="D37" s="181"/>
      <c r="E37" s="181"/>
      <c r="F37" s="182"/>
      <c r="G37" s="55"/>
      <c r="H37" s="70"/>
      <c r="K37" s="97"/>
      <c r="L37" s="100">
        <v>1</v>
      </c>
      <c r="M37" s="98">
        <f>K37*L37/100+K37</f>
        <v>0</v>
      </c>
    </row>
    <row r="38" spans="1:13" customHeight="1" ht="15.75" s="57" customFormat="1">
      <c r="A38" s="50" t="s">
        <v>62</v>
      </c>
      <c r="B38" s="71"/>
      <c r="C38" s="71"/>
      <c r="D38" s="71"/>
      <c r="E38" s="71"/>
      <c r="F38" s="71" t="s">
        <v>63</v>
      </c>
      <c r="G38" s="71"/>
      <c r="H38" s="72"/>
      <c r="K38" s="97"/>
      <c r="L38" s="100">
        <v>1</v>
      </c>
      <c r="M38" s="98">
        <f>K38*L38/100+K38</f>
        <v>0</v>
      </c>
    </row>
    <row r="39" spans="1:13" customHeight="1" ht="15.75" s="57" customFormat="1">
      <c r="A39" s="180"/>
      <c r="B39" s="181"/>
      <c r="C39" s="181"/>
      <c r="D39" s="181"/>
      <c r="E39" s="182"/>
      <c r="F39" s="180"/>
      <c r="G39" s="181"/>
      <c r="H39" s="182"/>
      <c r="K39" s="97"/>
      <c r="L39" s="100">
        <v>1</v>
      </c>
      <c r="M39" s="98">
        <f>K39*L39/100+K39</f>
        <v>0</v>
      </c>
    </row>
    <row r="40" spans="1:13" customHeight="1" ht="15.75" s="57" customFormat="1">
      <c r="A40" s="50" t="s">
        <v>67</v>
      </c>
      <c r="B40" s="71"/>
      <c r="C40" s="71"/>
      <c r="D40" s="71"/>
      <c r="E40" s="71"/>
      <c r="F40" s="71"/>
      <c r="G40" s="71"/>
      <c r="H40" s="72"/>
      <c r="K40" s="97"/>
      <c r="L40" s="100">
        <v>4</v>
      </c>
      <c r="M40" s="98">
        <f>K40*L40/100+K40</f>
        <v>0</v>
      </c>
    </row>
    <row r="41" spans="1:13" customHeight="1" ht="15.75" s="57" customFormat="1">
      <c r="A41" s="197"/>
      <c r="B41" s="198"/>
      <c r="C41" s="198"/>
      <c r="D41" s="198"/>
      <c r="E41" s="198"/>
      <c r="F41" s="198"/>
      <c r="G41" s="198"/>
      <c r="H41" s="199"/>
      <c r="K41" s="97"/>
      <c r="L41" s="100">
        <v>4</v>
      </c>
    </row>
    <row r="42" spans="1:13" customHeight="1" ht="15.75" s="57" customFormat="1">
      <c r="A42" s="50" t="s">
        <v>62</v>
      </c>
      <c r="B42" s="71"/>
      <c r="C42" s="71"/>
      <c r="D42" s="71"/>
      <c r="E42" s="71"/>
      <c r="F42" s="71" t="s">
        <v>63</v>
      </c>
      <c r="G42" s="71"/>
      <c r="H42" s="72"/>
      <c r="K42" s="97"/>
      <c r="L42" s="100"/>
    </row>
    <row r="43" spans="1:13" customHeight="1" ht="15.75" s="57" customFormat="1">
      <c r="A43" s="180"/>
      <c r="B43" s="181"/>
      <c r="C43" s="181"/>
      <c r="D43" s="181"/>
      <c r="E43" s="182"/>
      <c r="F43" s="180"/>
      <c r="G43" s="181"/>
      <c r="H43" s="182"/>
      <c r="K43" s="97"/>
      <c r="L43" s="100"/>
    </row>
    <row r="44" spans="1:13" customHeight="1" ht="15.75" s="57" customFormat="1">
      <c r="A44" s="50" t="s">
        <v>67</v>
      </c>
      <c r="B44" s="71"/>
      <c r="C44" s="71"/>
      <c r="D44" s="71"/>
      <c r="E44" s="71"/>
      <c r="F44" s="71"/>
      <c r="G44" s="71"/>
      <c r="H44" s="72"/>
      <c r="K44" s="97"/>
      <c r="L44" s="100"/>
    </row>
    <row r="45" spans="1:13" customHeight="1" ht="15.75">
      <c r="A45" s="200"/>
      <c r="B45" s="201"/>
      <c r="C45" s="201"/>
      <c r="D45" s="201"/>
      <c r="E45" s="201"/>
      <c r="F45" s="201"/>
      <c r="G45" s="201"/>
      <c r="H45" s="20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39:E39"/>
    <mergeCell ref="F39:H39"/>
    <mergeCell ref="A41:H41"/>
    <mergeCell ref="A43:E43"/>
    <mergeCell ref="F43:H43"/>
    <mergeCell ref="A45:H45"/>
    <mergeCell ref="A32:G32"/>
    <mergeCell ref="A33:H33"/>
    <mergeCell ref="A34:H34"/>
    <mergeCell ref="A35:H35"/>
    <mergeCell ref="A36:F36"/>
    <mergeCell ref="A37:F37"/>
    <mergeCell ref="A17:F17"/>
    <mergeCell ref="A18:F18"/>
    <mergeCell ref="G18:H18"/>
    <mergeCell ref="A19:H19"/>
    <mergeCell ref="A20:H20"/>
    <mergeCell ref="B21:D21"/>
    <mergeCell ref="A12:H12"/>
    <mergeCell ref="A13:F13"/>
    <mergeCell ref="A14:F14"/>
    <mergeCell ref="G14:H14"/>
    <mergeCell ref="A15:F15"/>
    <mergeCell ref="A16:F16"/>
    <mergeCell ref="G16:H16"/>
    <mergeCell ref="A8:F8"/>
    <mergeCell ref="G8:H8"/>
    <mergeCell ref="A9:F9"/>
    <mergeCell ref="G9:H9"/>
    <mergeCell ref="A10:H10"/>
    <mergeCell ref="A11:H11"/>
    <mergeCell ref="A1:H1"/>
    <mergeCell ref="B2:F2"/>
    <mergeCell ref="G2:H3"/>
    <mergeCell ref="A4:H5"/>
    <mergeCell ref="A6:H6"/>
    <mergeCell ref="D7:F7"/>
  </mergeCells>
  <printOptions gridLines="false" gridLinesSet="true" horizontalCentered="true"/>
  <pageMargins left="0" right="0" top="0" bottom="0" header="0.31496062992126" footer="0.31496062992126"/>
  <pageSetup paperSize="9" orientation="portrait" scale="75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6"/>
  <sheetViews>
    <sheetView tabSelected="0" workbookViewId="0" zoomScale="115" zoomScaleNormal="85" view="pageBreakPreview" showGridLines="true" showRowColHeaders="1">
      <selection activeCell="L25" sqref="L25"/>
    </sheetView>
  </sheetViews>
  <sheetFormatPr customHeight="true" defaultRowHeight="15" defaultColWidth="9.140625" outlineLevelRow="0" outlineLevelCol="0"/>
  <cols>
    <col min="1" max="1" width="7.42578125" customWidth="true" style="45"/>
    <col min="2" max="2" width="9.140625" style="45"/>
    <col min="3" max="3" width="13.5703125" customWidth="true" style="45"/>
    <col min="4" max="4" width="29.42578125" customWidth="true" style="45"/>
    <col min="5" max="5" width="12.7109375" customWidth="true" style="45"/>
    <col min="6" max="6" width="12.42578125" customWidth="true" style="45"/>
    <col min="7" max="7" width="15.42578125" customWidth="true" style="45"/>
    <col min="8" max="8" width="17" customWidth="true" style="45"/>
    <col min="9" max="9" width="9.140625" style="45"/>
    <col min="10" max="10" width="12.85546875" hidden="true" customWidth="true" style="45"/>
    <col min="11" max="11" width="12.140625" customWidth="true" style="96"/>
    <col min="12" max="12" width="24.85546875" customWidth="true" style="45"/>
    <col min="13" max="13" width="12.140625" customWidth="true" style="96"/>
  </cols>
  <sheetData>
    <row r="1" spans="1:13" customHeight="1" ht="5.25">
      <c r="A1" s="223"/>
      <c r="B1" s="223"/>
      <c r="C1" s="223"/>
      <c r="D1" s="223"/>
      <c r="E1" s="223"/>
      <c r="F1" s="223"/>
      <c r="G1" s="223"/>
      <c r="H1" s="223"/>
      <c r="I1" s="44"/>
      <c r="J1" s="44"/>
    </row>
    <row r="2" spans="1:13" customHeight="1" ht="21">
      <c r="A2" s="103"/>
      <c r="B2" s="224" t="s">
        <v>0</v>
      </c>
      <c r="C2" s="224"/>
      <c r="D2" s="224"/>
      <c r="E2" s="224"/>
      <c r="F2" s="225"/>
      <c r="G2" s="226" t="s">
        <v>1</v>
      </c>
      <c r="H2" s="227"/>
      <c r="I2" s="46"/>
      <c r="J2" s="46"/>
    </row>
    <row r="3" spans="1:13" customHeight="1" ht="21">
      <c r="A3" s="104" t="s">
        <v>71</v>
      </c>
      <c r="B3" s="105"/>
      <c r="C3" s="105"/>
      <c r="D3" s="106"/>
      <c r="E3" s="106"/>
      <c r="F3" s="107"/>
      <c r="G3" s="228"/>
      <c r="H3" s="229"/>
      <c r="I3" s="49"/>
      <c r="J3" s="49"/>
    </row>
    <row r="4" spans="1:13" customHeight="1" ht="15.75" s="57" customFormat="1">
      <c r="A4" s="230" t="s">
        <v>3</v>
      </c>
      <c r="B4" s="230"/>
      <c r="C4" s="230"/>
      <c r="D4" s="230"/>
      <c r="E4" s="230"/>
      <c r="F4" s="230"/>
      <c r="G4" s="230"/>
      <c r="H4" s="230"/>
      <c r="I4" s="101"/>
      <c r="J4" s="56"/>
      <c r="K4" s="97"/>
      <c r="M4" s="97"/>
    </row>
    <row r="5" spans="1:13" customHeight="1" ht="13.5" s="57" customFormat="1">
      <c r="A5" s="231"/>
      <c r="B5" s="231"/>
      <c r="C5" s="231"/>
      <c r="D5" s="231"/>
      <c r="E5" s="231"/>
      <c r="F5" s="231"/>
      <c r="G5" s="231"/>
      <c r="H5" s="231"/>
      <c r="I5" s="101"/>
      <c r="J5" s="56"/>
      <c r="K5" s="97"/>
      <c r="M5" s="97"/>
    </row>
    <row r="6" spans="1:13" customHeight="1" ht="15.75" s="57" customFormat="1">
      <c r="A6" s="232" t="s">
        <v>4</v>
      </c>
      <c r="B6" s="232"/>
      <c r="C6" s="232"/>
      <c r="D6" s="232"/>
      <c r="E6" s="232"/>
      <c r="F6" s="232"/>
      <c r="G6" s="232"/>
      <c r="H6" s="232"/>
      <c r="I6" s="102"/>
      <c r="J6" s="58"/>
      <c r="K6" s="97"/>
      <c r="M6" s="97"/>
    </row>
    <row r="7" spans="1:13" customHeight="1" ht="15.75" s="57" customFormat="1">
      <c r="A7" s="108" t="s">
        <v>5</v>
      </c>
      <c r="B7" s="109" t="s">
        <v>6</v>
      </c>
      <c r="C7" s="110" t="s">
        <v>7</v>
      </c>
      <c r="D7" s="233"/>
      <c r="E7" s="233"/>
      <c r="F7" s="234"/>
      <c r="G7" s="108" t="s">
        <v>8</v>
      </c>
      <c r="H7" s="111">
        <v>3</v>
      </c>
      <c r="K7" s="97" t="s">
        <v>72</v>
      </c>
      <c r="L7" s="57" t="s">
        <v>9</v>
      </c>
      <c r="M7" s="97"/>
    </row>
    <row r="8" spans="1:13" customHeight="1" ht="15.75" s="57" customFormat="1">
      <c r="A8" s="218" t="s">
        <v>77</v>
      </c>
      <c r="B8" s="219"/>
      <c r="C8" s="219"/>
      <c r="D8" s="219"/>
      <c r="E8" s="219"/>
      <c r="F8" s="219"/>
      <c r="G8" s="219" t="s">
        <v>11</v>
      </c>
      <c r="H8" s="220"/>
      <c r="K8" s="97"/>
      <c r="M8" s="97"/>
    </row>
    <row r="9" spans="1:13" customHeight="1" ht="15.75" s="57" customFormat="1">
      <c r="A9" s="203" t="s">
        <v>78</v>
      </c>
      <c r="B9" s="204"/>
      <c r="C9" s="204"/>
      <c r="D9" s="204"/>
      <c r="E9" s="204"/>
      <c r="F9" s="205"/>
      <c r="G9" s="222" t="str">
        <f>PADRÃO!G9</f>
        <v>02.522.102/0001-00</v>
      </c>
      <c r="H9" s="205"/>
      <c r="K9" s="97"/>
      <c r="M9" s="97"/>
    </row>
    <row r="10" spans="1:13" customHeight="1" ht="15.75" s="57" customFormat="1">
      <c r="A10" s="218" t="s">
        <v>14</v>
      </c>
      <c r="B10" s="219"/>
      <c r="C10" s="219"/>
      <c r="D10" s="219"/>
      <c r="E10" s="219"/>
      <c r="F10" s="219"/>
      <c r="G10" s="219"/>
      <c r="H10" s="220"/>
      <c r="K10" s="97"/>
      <c r="M10" s="97"/>
    </row>
    <row r="11" spans="1:13" customHeight="1" ht="15.75" s="57" customFormat="1">
      <c r="A11" s="203" t="str">
        <f>PADRÃO!A11</f>
        <v>COMUNIDADESAO RAIMUNDO DO MOJU, SN</v>
      </c>
      <c r="B11" s="204"/>
      <c r="C11" s="204"/>
      <c r="D11" s="204"/>
      <c r="E11" s="204"/>
      <c r="F11" s="204"/>
      <c r="G11" s="204"/>
      <c r="H11" s="205"/>
      <c r="K11" s="97"/>
      <c r="M11" s="97"/>
    </row>
    <row r="12" spans="1:13" customHeight="1" ht="15.75" s="57" customFormat="1">
      <c r="A12" s="204" t="s">
        <v>16</v>
      </c>
      <c r="B12" s="204"/>
      <c r="C12" s="204"/>
      <c r="D12" s="204"/>
      <c r="E12" s="204"/>
      <c r="F12" s="204"/>
      <c r="G12" s="204"/>
      <c r="H12" s="205"/>
      <c r="J12" s="57" t="s">
        <v>74</v>
      </c>
      <c r="K12" s="97"/>
      <c r="L12" s="57" t="s">
        <v>75</v>
      </c>
      <c r="M12" s="97"/>
    </row>
    <row r="13" spans="1:13" customHeight="1" ht="15.75" s="57" customFormat="1">
      <c r="A13" s="211" t="s">
        <v>17</v>
      </c>
      <c r="B13" s="211"/>
      <c r="C13" s="211"/>
      <c r="D13" s="211"/>
      <c r="E13" s="211"/>
      <c r="F13" s="211"/>
      <c r="G13" s="110" t="s">
        <v>18</v>
      </c>
      <c r="H13" s="112"/>
      <c r="K13" s="97"/>
      <c r="L13" s="57" t="s">
        <v>76</v>
      </c>
      <c r="M13" s="97"/>
    </row>
    <row r="14" spans="1:13" customHeight="1" ht="15.75" s="57" customFormat="1">
      <c r="A14" s="215"/>
      <c r="B14" s="215"/>
      <c r="C14" s="215"/>
      <c r="D14" s="215"/>
      <c r="E14" s="215"/>
      <c r="F14" s="215"/>
      <c r="G14" s="221" t="str">
        <f>PADRÃO!G14</f>
        <v>PRESIDENTE DO CONSELHO</v>
      </c>
      <c r="H14" s="217"/>
      <c r="K14" s="97"/>
      <c r="M14" s="97"/>
    </row>
    <row r="15" spans="1:13" customHeight="1" ht="15.75" s="57" customFormat="1">
      <c r="A15" s="211" t="s">
        <v>20</v>
      </c>
      <c r="B15" s="211"/>
      <c r="C15" s="211"/>
      <c r="D15" s="211"/>
      <c r="E15" s="211"/>
      <c r="F15" s="211"/>
      <c r="G15" s="110" t="s">
        <v>21</v>
      </c>
      <c r="H15" s="112"/>
      <c r="K15" s="97"/>
      <c r="M15" s="97"/>
    </row>
    <row r="16" spans="1:13" customHeight="1" ht="15.75" s="57" customFormat="1">
      <c r="A16" s="215"/>
      <c r="B16" s="215"/>
      <c r="C16" s="215"/>
      <c r="D16" s="215"/>
      <c r="E16" s="215"/>
      <c r="F16" s="215"/>
      <c r="G16" s="221"/>
      <c r="H16" s="217"/>
      <c r="K16" s="97"/>
      <c r="M16" s="97"/>
    </row>
    <row r="17" spans="1:13" customHeight="1" ht="15.75" s="57" customFormat="1">
      <c r="A17" s="211" t="s">
        <v>22</v>
      </c>
      <c r="B17" s="211"/>
      <c r="C17" s="211"/>
      <c r="D17" s="211"/>
      <c r="E17" s="211"/>
      <c r="F17" s="211"/>
      <c r="G17" s="110" t="s">
        <v>23</v>
      </c>
      <c r="H17" s="112"/>
      <c r="K17" s="97"/>
      <c r="M17" s="97"/>
    </row>
    <row r="18" spans="1:13" customHeight="1" ht="15.75" s="57" customFormat="1">
      <c r="A18" s="215"/>
      <c r="B18" s="215"/>
      <c r="C18" s="215"/>
      <c r="D18" s="215"/>
      <c r="E18" s="215"/>
      <c r="F18" s="215"/>
      <c r="G18" s="216"/>
      <c r="H18" s="217"/>
      <c r="K18" s="97"/>
      <c r="M18" s="97"/>
    </row>
    <row r="19" spans="1:13" customHeight="1" ht="15.75" s="57" customFormat="1">
      <c r="A19" s="203" t="s">
        <v>25</v>
      </c>
      <c r="B19" s="204"/>
      <c r="C19" s="204"/>
      <c r="D19" s="204"/>
      <c r="E19" s="204"/>
      <c r="F19" s="204"/>
      <c r="G19" s="204"/>
      <c r="H19" s="205"/>
      <c r="I19" s="101"/>
      <c r="K19" s="97"/>
      <c r="M19" s="97"/>
    </row>
    <row r="20" spans="1:13" customHeight="1" ht="15.75" s="57" customFormat="1">
      <c r="A20" s="218">
        <v>1</v>
      </c>
      <c r="B20" s="219"/>
      <c r="C20" s="219"/>
      <c r="D20" s="219"/>
      <c r="E20" s="219"/>
      <c r="F20" s="219"/>
      <c r="G20" s="219"/>
      <c r="H20" s="220"/>
      <c r="K20" s="97"/>
      <c r="M20" s="97"/>
    </row>
    <row r="21" spans="1:13" customHeight="1" ht="15.75" s="57" customFormat="1">
      <c r="A21" s="114" t="s">
        <v>28</v>
      </c>
      <c r="B21" s="218" t="s">
        <v>29</v>
      </c>
      <c r="C21" s="219"/>
      <c r="D21" s="220"/>
      <c r="E21" s="115" t="s">
        <v>30</v>
      </c>
      <c r="F21" s="116" t="s">
        <v>31</v>
      </c>
      <c r="G21" s="116" t="s">
        <v>32</v>
      </c>
      <c r="H21" s="116" t="s">
        <v>33</v>
      </c>
      <c r="K21" s="97"/>
      <c r="M21" s="97"/>
    </row>
    <row r="22" spans="1:13" customHeight="1" ht="15.75" s="57" customFormat="1">
      <c r="A22" s="117" t="s">
        <v>38</v>
      </c>
      <c r="B22" s="118" t="str">
        <f>PADRÃO!B22</f>
        <v>CAIXA AMP JBL PARTY BOX ENCORE C/2 MIC</v>
      </c>
      <c r="C22" s="119"/>
      <c r="D22" s="120"/>
      <c r="E22" s="117" t="str">
        <f>PADRÃO!E22</f>
        <v>UN</v>
      </c>
      <c r="F22" s="121">
        <f>PADRÃO!F22</f>
        <v>1</v>
      </c>
      <c r="G22" s="122">
        <f>M22</f>
        <v>3417.54</v>
      </c>
      <c r="H22" s="122">
        <f>G22*F22</f>
        <v>3417.54</v>
      </c>
      <c r="J22" s="67">
        <v>5.89</v>
      </c>
      <c r="K22" s="97">
        <f>PADRÃO!G22</f>
        <v>3318</v>
      </c>
      <c r="L22" s="57">
        <v>3</v>
      </c>
      <c r="M22" s="97">
        <f>K22*L22/100+K22</f>
        <v>3417.54</v>
      </c>
    </row>
    <row r="23" spans="1:13" customHeight="1" ht="15.75" s="57" customFormat="1">
      <c r="A23" s="117" t="s">
        <v>41</v>
      </c>
      <c r="B23" s="118"/>
      <c r="C23" s="119"/>
      <c r="D23" s="120"/>
      <c r="E23" s="117"/>
      <c r="F23" s="121"/>
      <c r="G23" s="122"/>
      <c r="H23" s="122"/>
      <c r="J23" s="67">
        <v>5.89</v>
      </c>
      <c r="K23" s="97">
        <f>PADRÃO!G23</f>
        <v/>
      </c>
      <c r="L23" s="57">
        <v>3</v>
      </c>
      <c r="M23" s="97">
        <f>K23*L23/100+K23</f>
        <v>0</v>
      </c>
    </row>
    <row r="24" spans="1:13" customHeight="1" ht="15.75" s="57" customFormat="1">
      <c r="A24" s="117" t="s">
        <v>42</v>
      </c>
      <c r="B24" s="118"/>
      <c r="C24" s="119"/>
      <c r="D24" s="120"/>
      <c r="E24" s="117"/>
      <c r="F24" s="121"/>
      <c r="G24" s="122"/>
      <c r="H24" s="122"/>
      <c r="J24" s="67"/>
      <c r="K24" s="97">
        <f>PADRÃO!G24</f>
        <v/>
      </c>
      <c r="L24" s="57">
        <v>4</v>
      </c>
      <c r="M24" s="97">
        <f>K24*L24/100+K24</f>
        <v>0</v>
      </c>
    </row>
    <row r="25" spans="1:13" customHeight="1" ht="15.75" s="57" customFormat="1">
      <c r="A25" s="117" t="s">
        <v>43</v>
      </c>
      <c r="B25" s="118"/>
      <c r="C25" s="119"/>
      <c r="D25" s="120"/>
      <c r="E25" s="117"/>
      <c r="F25" s="121"/>
      <c r="G25" s="122"/>
      <c r="H25" s="122"/>
      <c r="J25" s="67"/>
      <c r="K25" s="97">
        <f>PADRÃO!G25</f>
        <v/>
      </c>
      <c r="L25" s="57">
        <v>2</v>
      </c>
      <c r="M25" s="97">
        <f>K25*L25/100+K25</f>
        <v>0</v>
      </c>
    </row>
    <row r="26" spans="1:13" customHeight="1" ht="15.75" s="57" customFormat="1">
      <c r="A26" s="117" t="s">
        <v>44</v>
      </c>
      <c r="B26" s="118"/>
      <c r="C26" s="119"/>
      <c r="D26" s="120"/>
      <c r="E26" s="117"/>
      <c r="F26" s="121"/>
      <c r="G26" s="122"/>
      <c r="H26" s="122"/>
      <c r="J26" s="67"/>
      <c r="K26" s="97">
        <f>PADRÃO!G26</f>
        <v/>
      </c>
      <c r="L26" s="57">
        <v>4</v>
      </c>
      <c r="M26" s="97">
        <f>K26*L26/100+K26</f>
        <v>0</v>
      </c>
    </row>
    <row r="27" spans="1:13" customHeight="1" ht="15.75" s="57" customFormat="1">
      <c r="A27" s="117" t="s">
        <v>45</v>
      </c>
      <c r="B27" s="118"/>
      <c r="C27" s="119"/>
      <c r="D27" s="120"/>
      <c r="E27" s="117"/>
      <c r="F27" s="121"/>
      <c r="G27" s="122"/>
      <c r="H27" s="122"/>
      <c r="J27" s="67"/>
      <c r="K27" s="97">
        <f>PADRÃO!G27</f>
        <v/>
      </c>
      <c r="L27" s="57">
        <v>2</v>
      </c>
      <c r="M27" s="97">
        <f>K27*L27/100+K27</f>
        <v>0</v>
      </c>
    </row>
    <row r="28" spans="1:13" customHeight="1" ht="15.75" s="57" customFormat="1">
      <c r="A28" s="117" t="s">
        <v>46</v>
      </c>
      <c r="B28" s="118"/>
      <c r="C28" s="119"/>
      <c r="D28" s="120"/>
      <c r="E28" s="117"/>
      <c r="F28" s="121"/>
      <c r="G28" s="122"/>
      <c r="H28" s="122"/>
      <c r="J28" s="67"/>
      <c r="K28" s="97">
        <f>PADRÃO!G28</f>
        <v/>
      </c>
      <c r="L28" s="57">
        <v>2</v>
      </c>
      <c r="M28" s="97">
        <f>K28*L28/100+K28</f>
        <v>0</v>
      </c>
    </row>
    <row r="29" spans="1:13" customHeight="1" ht="15.75" s="57" customFormat="1">
      <c r="A29" s="117" t="s">
        <v>47</v>
      </c>
      <c r="B29" s="118"/>
      <c r="C29" s="119"/>
      <c r="D29" s="120"/>
      <c r="E29" s="117"/>
      <c r="F29" s="121"/>
      <c r="G29" s="122"/>
      <c r="H29" s="122"/>
      <c r="J29" s="67"/>
      <c r="K29" s="97">
        <f>PADRÃO!G29</f>
        <v/>
      </c>
      <c r="L29" s="57">
        <v>2</v>
      </c>
      <c r="M29" s="97">
        <f>K29*L29/100+K29</f>
        <v>0</v>
      </c>
    </row>
    <row r="30" spans="1:13" customHeight="1" ht="15.75" s="57" customFormat="1">
      <c r="A30" s="117" t="s">
        <v>48</v>
      </c>
      <c r="B30" s="118"/>
      <c r="C30" s="119"/>
      <c r="D30" s="120"/>
      <c r="E30" s="117"/>
      <c r="F30" s="121"/>
      <c r="G30" s="122"/>
      <c r="H30" s="122"/>
      <c r="J30" s="67"/>
      <c r="K30" s="97">
        <f>PADRÃO!G30</f>
        <v/>
      </c>
      <c r="L30" s="57">
        <v>2</v>
      </c>
      <c r="M30" s="97">
        <f>K30*L30/100+K30</f>
        <v>0</v>
      </c>
    </row>
    <row r="31" spans="1:13" customHeight="1" ht="15.75" s="57" customFormat="1">
      <c r="A31" s="117" t="s">
        <v>49</v>
      </c>
      <c r="B31" s="118"/>
      <c r="C31" s="119"/>
      <c r="D31" s="120"/>
      <c r="E31" s="117"/>
      <c r="F31" s="121"/>
      <c r="G31" s="122"/>
      <c r="H31" s="122"/>
      <c r="J31" s="67"/>
      <c r="K31" s="97">
        <f>PADRÃO!G31</f>
        <v/>
      </c>
      <c r="L31" s="57">
        <v>4</v>
      </c>
      <c r="M31" s="97">
        <f>K31*L31/100+K31</f>
        <v>0</v>
      </c>
    </row>
    <row r="32" spans="1:13" customHeight="1" ht="15.75" s="57" customFormat="1">
      <c r="A32" s="209"/>
      <c r="B32" s="210"/>
      <c r="C32" s="210"/>
      <c r="D32" s="210"/>
      <c r="E32" s="210"/>
      <c r="F32" s="210"/>
      <c r="G32" s="210"/>
      <c r="H32" s="123">
        <f>SUM(H22:H31)</f>
        <v>3417.54</v>
      </c>
      <c r="K32" s="97">
        <f>PADRÃO!G37</f>
        <v/>
      </c>
      <c r="L32" s="57">
        <v>4</v>
      </c>
      <c r="M32" s="97">
        <f>K32*L32/100+K32</f>
        <v>0</v>
      </c>
    </row>
    <row r="33" spans="1:13" customHeight="1" ht="15.75" s="57" customFormat="1">
      <c r="A33" s="207" t="s">
        <v>51</v>
      </c>
      <c r="B33" s="207"/>
      <c r="C33" s="207"/>
      <c r="D33" s="207"/>
      <c r="E33" s="207"/>
      <c r="F33" s="207"/>
      <c r="G33" s="207"/>
      <c r="H33" s="208"/>
      <c r="K33" s="97">
        <f>PADRÃO!G38</f>
        <v/>
      </c>
      <c r="L33" s="57">
        <v>6</v>
      </c>
      <c r="M33" s="97"/>
    </row>
    <row r="34" spans="1:13" customHeight="1" ht="15.75" s="57" customFormat="1">
      <c r="A34" s="211"/>
      <c r="B34" s="211"/>
      <c r="C34" s="211"/>
      <c r="D34" s="211"/>
      <c r="E34" s="211"/>
      <c r="F34" s="211"/>
      <c r="G34" s="211"/>
      <c r="H34" s="211"/>
      <c r="K34" s="97"/>
      <c r="L34" s="57">
        <v>6</v>
      </c>
      <c r="M34" s="97"/>
    </row>
    <row r="35" spans="1:13" customHeight="1" ht="15.75" s="57" customFormat="1">
      <c r="A35" s="203"/>
      <c r="B35" s="204"/>
      <c r="C35" s="204"/>
      <c r="D35" s="204"/>
      <c r="E35" s="204"/>
      <c r="F35" s="204"/>
      <c r="G35" s="204"/>
      <c r="H35" s="205"/>
      <c r="K35" s="97"/>
      <c r="L35" s="57">
        <v>6</v>
      </c>
      <c r="M35" s="97"/>
    </row>
    <row r="36" spans="1:13" customHeight="1" ht="15.75" s="57" customFormat="1">
      <c r="A36" s="212" t="s">
        <v>55</v>
      </c>
      <c r="B36" s="213"/>
      <c r="C36" s="213"/>
      <c r="D36" s="213"/>
      <c r="E36" s="213"/>
      <c r="F36" s="214"/>
      <c r="G36" s="124" t="s">
        <v>56</v>
      </c>
      <c r="H36" s="116" t="s">
        <v>57</v>
      </c>
      <c r="K36" s="97"/>
      <c r="M36" s="97"/>
    </row>
    <row r="37" spans="1:13" customHeight="1" ht="15.75" s="57" customFormat="1">
      <c r="A37" s="203"/>
      <c r="B37" s="204"/>
      <c r="C37" s="204"/>
      <c r="D37" s="204"/>
      <c r="E37" s="204"/>
      <c r="F37" s="205"/>
      <c r="G37" s="113"/>
      <c r="H37" s="125"/>
      <c r="K37" s="97"/>
      <c r="M37" s="97"/>
    </row>
    <row r="38" spans="1:13" customHeight="1" ht="15.75" s="57" customFormat="1">
      <c r="A38" s="108" t="s">
        <v>62</v>
      </c>
      <c r="B38" s="126"/>
      <c r="C38" s="126"/>
      <c r="D38" s="126"/>
      <c r="E38" s="126"/>
      <c r="F38" s="126" t="s">
        <v>63</v>
      </c>
      <c r="G38" s="126"/>
      <c r="H38" s="127"/>
      <c r="K38" s="97"/>
      <c r="M38" s="97"/>
    </row>
    <row r="39" spans="1:13" customHeight="1" ht="15.75" s="57" customFormat="1">
      <c r="A39" s="203"/>
      <c r="B39" s="204"/>
      <c r="C39" s="204"/>
      <c r="D39" s="204"/>
      <c r="E39" s="205"/>
      <c r="F39" s="203"/>
      <c r="G39" s="204"/>
      <c r="H39" s="205"/>
      <c r="K39" s="97"/>
      <c r="M39" s="97"/>
    </row>
    <row r="40" spans="1:13" customHeight="1" ht="15.75" s="57" customFormat="1">
      <c r="A40" s="108" t="s">
        <v>67</v>
      </c>
      <c r="B40" s="126"/>
      <c r="C40" s="126"/>
      <c r="D40" s="126"/>
      <c r="E40" s="126"/>
      <c r="F40" s="126"/>
      <c r="G40" s="126"/>
      <c r="H40" s="127"/>
      <c r="K40" s="97"/>
      <c r="M40" s="97"/>
    </row>
    <row r="41" spans="1:13" customHeight="1" ht="15.75" s="57" customFormat="1">
      <c r="A41" s="206"/>
      <c r="B41" s="207"/>
      <c r="C41" s="207"/>
      <c r="D41" s="207"/>
      <c r="E41" s="207"/>
      <c r="F41" s="207"/>
      <c r="G41" s="207"/>
      <c r="H41" s="208"/>
      <c r="K41" s="97"/>
      <c r="M41" s="97"/>
    </row>
    <row r="42" spans="1:13" customHeight="1" ht="15.75" s="57" customFormat="1">
      <c r="A42" s="108" t="s">
        <v>62</v>
      </c>
      <c r="B42" s="126"/>
      <c r="C42" s="126"/>
      <c r="D42" s="126"/>
      <c r="E42" s="126"/>
      <c r="F42" s="126" t="s">
        <v>63</v>
      </c>
      <c r="G42" s="126"/>
      <c r="H42" s="127"/>
      <c r="K42" s="97"/>
      <c r="M42" s="97"/>
    </row>
    <row r="43" spans="1:13" customHeight="1" ht="15.75" s="57" customFormat="1">
      <c r="A43" s="203"/>
      <c r="B43" s="204"/>
      <c r="C43" s="204"/>
      <c r="D43" s="204"/>
      <c r="E43" s="205"/>
      <c r="F43" s="203"/>
      <c r="G43" s="204"/>
      <c r="H43" s="205"/>
      <c r="K43" s="97"/>
      <c r="M43" s="97"/>
    </row>
    <row r="44" spans="1:13" customHeight="1" ht="15.75" s="57" customFormat="1">
      <c r="A44" s="108" t="s">
        <v>67</v>
      </c>
      <c r="B44" s="126"/>
      <c r="C44" s="126"/>
      <c r="D44" s="126"/>
      <c r="E44" s="126"/>
      <c r="F44" s="126"/>
      <c r="G44" s="126"/>
      <c r="H44" s="127"/>
      <c r="K44" s="97"/>
      <c r="M44" s="97"/>
    </row>
    <row r="45" spans="1:13" customHeight="1" ht="15.75">
      <c r="A45" s="206"/>
      <c r="B45" s="207"/>
      <c r="C45" s="207"/>
      <c r="D45" s="207"/>
      <c r="E45" s="207"/>
      <c r="F45" s="207"/>
      <c r="G45" s="207"/>
      <c r="H45" s="208"/>
    </row>
    <row r="46" spans="1:13" customHeight="1" ht="15">
      <c r="A46" s="95"/>
      <c r="B46" s="95"/>
      <c r="C46" s="95"/>
      <c r="D46" s="95"/>
      <c r="E46" s="95"/>
      <c r="F46" s="95"/>
      <c r="G46" s="95"/>
      <c r="H46" s="95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1:H1"/>
    <mergeCell ref="B2:F2"/>
    <mergeCell ref="G2:H3"/>
    <mergeCell ref="A4:H5"/>
    <mergeCell ref="A6:H6"/>
    <mergeCell ref="D7:F7"/>
    <mergeCell ref="A8:F8"/>
    <mergeCell ref="G8:H8"/>
    <mergeCell ref="A9:F9"/>
    <mergeCell ref="G9:H9"/>
    <mergeCell ref="A10:H10"/>
    <mergeCell ref="A11:H11"/>
    <mergeCell ref="A12:H12"/>
    <mergeCell ref="A13:F13"/>
    <mergeCell ref="A14:F14"/>
    <mergeCell ref="G14:H14"/>
    <mergeCell ref="A15:F15"/>
    <mergeCell ref="A16:F16"/>
    <mergeCell ref="G16:H16"/>
    <mergeCell ref="A17:F17"/>
    <mergeCell ref="A18:F18"/>
    <mergeCell ref="G18:H18"/>
    <mergeCell ref="A19:H19"/>
    <mergeCell ref="A20:H20"/>
    <mergeCell ref="B21:D21"/>
    <mergeCell ref="A32:G32"/>
    <mergeCell ref="A33:H33"/>
    <mergeCell ref="A34:H34"/>
    <mergeCell ref="A35:H35"/>
    <mergeCell ref="A36:F36"/>
    <mergeCell ref="A37:F37"/>
    <mergeCell ref="A39:E39"/>
    <mergeCell ref="F39:H39"/>
    <mergeCell ref="A41:H41"/>
    <mergeCell ref="A43:E43"/>
    <mergeCell ref="F43:H43"/>
    <mergeCell ref="A45:H45"/>
  </mergeCells>
  <printOptions gridLines="false" gridLinesSet="true" horizontalCentered="true"/>
  <pageMargins left="0" right="0" top="0" bottom="0" header="0.31496062992126" footer="0.31496062992126"/>
  <pageSetup paperSize="9" orientation="portrait" scale="75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0" workbookViewId="0" showGridLines="true" showRowColHeaders="1">
      <selection activeCell="H25" sqref="H25"/>
    </sheetView>
  </sheetViews>
  <sheetFormatPr customHeight="true" defaultRowHeight="12.75" outlineLevelRow="0" outlineLevelCol="0"/>
  <cols>
    <col min="1" max="1" width="7.42578125" customWidth="true" style="0"/>
    <col min="3" max="3" width="13.5703125" customWidth="true" style="0"/>
    <col min="4" max="4" width="29.42578125" customWidth="true" style="0"/>
    <col min="5" max="5" width="12.7109375" customWidth="true" style="0"/>
    <col min="6" max="6" width="12.42578125" customWidth="true" style="0"/>
    <col min="7" max="7" width="15.42578125" customWidth="true" style="0"/>
    <col min="8" max="8" width="17" customWidth="true" style="0"/>
  </cols>
  <sheetData>
    <row r="1" spans="1:12" customHeight="1" ht="12.75">
      <c r="A1" s="128"/>
      <c r="B1" s="128"/>
      <c r="C1" s="128"/>
      <c r="D1" s="128"/>
      <c r="E1" s="128"/>
      <c r="F1" s="128"/>
      <c r="G1" s="128"/>
      <c r="H1" s="128"/>
      <c r="I1" s="5"/>
      <c r="J1" s="5"/>
    </row>
    <row r="2" spans="1:12" customHeight="1" ht="12.75">
      <c r="B2" s="129" t="s">
        <v>0</v>
      </c>
      <c r="C2" s="129"/>
      <c r="D2" s="129"/>
      <c r="E2" s="129"/>
      <c r="F2" s="129"/>
      <c r="G2" s="130" t="s">
        <v>1</v>
      </c>
      <c r="H2" s="130"/>
      <c r="I2" s="2"/>
      <c r="J2" s="2"/>
    </row>
    <row r="3" spans="1:12" customHeight="1" ht="13.5">
      <c r="A3" s="4" t="s">
        <v>2</v>
      </c>
      <c r="B3" s="4"/>
      <c r="C3" s="4"/>
      <c r="D3" s="4"/>
      <c r="E3" s="4"/>
      <c r="F3" s="7"/>
      <c r="G3" s="130"/>
      <c r="H3" s="130"/>
      <c r="I3" s="3"/>
      <c r="J3" s="3"/>
    </row>
    <row r="4" spans="1:12" customHeight="1" ht="12.75">
      <c r="A4" s="131" t="s">
        <v>3</v>
      </c>
      <c r="B4" s="131"/>
      <c r="C4" s="131"/>
      <c r="D4" s="131"/>
      <c r="E4" s="131"/>
      <c r="F4" s="131"/>
      <c r="G4" s="131"/>
      <c r="H4" s="131"/>
      <c r="I4" s="1"/>
      <c r="J4" s="1"/>
    </row>
    <row r="5" spans="1:12" customHeight="1" ht="12.75">
      <c r="A5" s="131"/>
      <c r="B5" s="131"/>
      <c r="C5" s="131"/>
      <c r="D5" s="131"/>
      <c r="E5" s="131"/>
      <c r="F5" s="131"/>
      <c r="G5" s="131"/>
      <c r="H5" s="131"/>
      <c r="I5" s="1"/>
      <c r="J5" s="1"/>
    </row>
    <row r="6" spans="1:12" customHeight="1" ht="12.75">
      <c r="A6" s="132" t="s">
        <v>4</v>
      </c>
      <c r="B6" s="132"/>
      <c r="C6" s="132"/>
      <c r="D6" s="132"/>
      <c r="E6" s="132"/>
      <c r="F6" s="132"/>
      <c r="G6" s="132"/>
      <c r="H6" s="132"/>
      <c r="I6" s="6"/>
      <c r="J6" s="6"/>
    </row>
    <row r="7" spans="1:12" customHeight="1" ht="12.75">
      <c r="A7" s="13" t="s">
        <v>5</v>
      </c>
      <c r="B7" s="18" t="s">
        <v>6</v>
      </c>
      <c r="C7" s="19" t="s">
        <v>7</v>
      </c>
      <c r="D7" s="133" t="s">
        <v>79</v>
      </c>
      <c r="E7" s="133"/>
      <c r="F7" s="134"/>
      <c r="G7" s="13" t="s">
        <v>8</v>
      </c>
      <c r="H7" s="27">
        <v>3</v>
      </c>
      <c r="L7" t="s">
        <v>9</v>
      </c>
    </row>
    <row r="8" spans="1:12" customHeight="1" ht="12.75">
      <c r="A8" s="135"/>
      <c r="B8" s="136"/>
      <c r="C8" s="136"/>
      <c r="D8" s="136"/>
      <c r="E8" s="136"/>
      <c r="F8" s="136"/>
      <c r="G8" s="136"/>
      <c r="H8" s="137"/>
    </row>
    <row r="9" spans="1:12" customHeight="1" ht="18">
      <c r="A9" s="138" t="s">
        <v>80</v>
      </c>
      <c r="B9" s="139"/>
      <c r="C9" s="139"/>
      <c r="D9" s="139"/>
      <c r="E9" s="139"/>
      <c r="F9" s="140"/>
      <c r="G9" s="235" t="s">
        <v>81</v>
      </c>
      <c r="H9" s="236"/>
    </row>
    <row r="10" spans="1:12" customHeight="1" ht="12.75">
      <c r="A10" s="135" t="s">
        <v>82</v>
      </c>
      <c r="B10" s="136"/>
      <c r="C10" s="136"/>
      <c r="D10" s="136"/>
      <c r="E10" s="136"/>
      <c r="F10" s="136"/>
      <c r="G10" s="136"/>
      <c r="H10" s="137"/>
    </row>
    <row r="11" spans="1:12" customHeight="1" ht="12.75">
      <c r="A11" s="138" t="s">
        <v>83</v>
      </c>
      <c r="B11" s="139"/>
      <c r="C11" s="139"/>
      <c r="D11" s="139"/>
      <c r="E11" s="139"/>
      <c r="F11" s="139"/>
      <c r="G11" s="139"/>
      <c r="H11" s="140"/>
    </row>
    <row r="12" spans="1:12" customHeight="1" ht="12.75">
      <c r="A12" s="142" t="s">
        <v>16</v>
      </c>
      <c r="B12" s="142"/>
      <c r="C12" s="142"/>
      <c r="D12" s="142"/>
      <c r="E12" s="142"/>
      <c r="F12" s="142"/>
      <c r="G12" s="142"/>
      <c r="H12" s="142"/>
    </row>
    <row r="13" spans="1:12" customHeight="1" ht="12.75">
      <c r="A13" s="143" t="s">
        <v>17</v>
      </c>
      <c r="B13" s="143"/>
      <c r="C13" s="143"/>
      <c r="D13" s="143"/>
      <c r="E13" s="143"/>
      <c r="F13" s="143"/>
      <c r="G13" s="19" t="s">
        <v>18</v>
      </c>
      <c r="H13" s="20"/>
    </row>
    <row r="14" spans="1:12" customHeight="1" ht="15.75">
      <c r="A14" s="147"/>
      <c r="B14" s="147"/>
      <c r="C14" s="147"/>
      <c r="D14" s="147"/>
      <c r="E14" s="147"/>
      <c r="F14" s="147"/>
      <c r="G14" s="237"/>
      <c r="H14" s="149"/>
    </row>
    <row r="15" spans="1:12" customHeight="1" ht="12.75">
      <c r="A15" s="143" t="s">
        <v>20</v>
      </c>
      <c r="B15" s="143"/>
      <c r="C15" s="143"/>
      <c r="D15" s="143"/>
      <c r="E15" s="143"/>
      <c r="F15" s="143"/>
      <c r="G15" s="19" t="s">
        <v>21</v>
      </c>
      <c r="H15" s="20"/>
    </row>
    <row r="16" spans="1:12" customHeight="1" ht="15.75">
      <c r="A16" s="147"/>
      <c r="B16" s="147"/>
      <c r="C16" s="147"/>
      <c r="D16" s="147"/>
      <c r="E16" s="147"/>
      <c r="F16" s="147"/>
      <c r="G16" s="237"/>
      <c r="H16" s="149"/>
    </row>
    <row r="17" spans="1:12" customHeight="1" ht="12.75">
      <c r="A17" s="143" t="s">
        <v>22</v>
      </c>
      <c r="B17" s="143"/>
      <c r="C17" s="143"/>
      <c r="D17" s="143"/>
      <c r="E17" s="143"/>
      <c r="F17" s="143"/>
      <c r="G17" s="19" t="s">
        <v>23</v>
      </c>
      <c r="H17" s="20"/>
    </row>
    <row r="18" spans="1:12" customHeight="1" ht="15.75">
      <c r="A18" s="147"/>
      <c r="B18" s="147"/>
      <c r="C18" s="147"/>
      <c r="D18" s="147"/>
      <c r="E18" s="147"/>
      <c r="F18" s="147"/>
      <c r="G18" s="148"/>
      <c r="H18" s="149"/>
    </row>
    <row r="19" spans="1:12" customHeight="1" ht="12.75">
      <c r="A19" s="150" t="s">
        <v>25</v>
      </c>
      <c r="B19" s="150"/>
      <c r="C19" s="150"/>
      <c r="D19" s="150"/>
      <c r="E19" s="150"/>
      <c r="F19" s="150"/>
      <c r="G19" s="150"/>
      <c r="H19" s="150"/>
    </row>
    <row r="20" spans="1:12" customHeight="1" ht="12.75">
      <c r="A20" s="151" t="s">
        <v>84</v>
      </c>
      <c r="B20" s="152"/>
      <c r="C20" s="152"/>
      <c r="D20" s="152"/>
      <c r="E20" s="152"/>
      <c r="F20" s="152"/>
      <c r="G20" s="152"/>
      <c r="H20" s="153"/>
    </row>
    <row r="21" spans="1:12" customHeight="1" ht="15">
      <c r="A21" s="8" t="s">
        <v>28</v>
      </c>
      <c r="B21" s="154" t="s">
        <v>29</v>
      </c>
      <c r="C21" s="155"/>
      <c r="D21" s="156"/>
      <c r="E21" s="9" t="s">
        <v>85</v>
      </c>
      <c r="F21" s="9" t="s">
        <v>31</v>
      </c>
      <c r="G21" s="9" t="s">
        <v>32</v>
      </c>
      <c r="H21" s="9" t="s">
        <v>33</v>
      </c>
    </row>
    <row r="22" spans="1:12" customHeight="1" ht="20.25">
      <c r="A22" s="25" t="s">
        <v>86</v>
      </c>
      <c r="B22" s="31" t="s">
        <v>87</v>
      </c>
      <c r="C22" s="32"/>
      <c r="D22" s="33"/>
      <c r="E22" s="25" t="s">
        <v>88</v>
      </c>
      <c r="F22" s="11">
        <v>1</v>
      </c>
      <c r="G22" s="23"/>
      <c r="H22" s="23"/>
    </row>
    <row r="23" spans="1:12" customHeight="1" ht="20.25">
      <c r="A23" s="25" t="s">
        <v>89</v>
      </c>
      <c r="B23" s="31"/>
      <c r="C23" s="32"/>
      <c r="D23" s="33"/>
      <c r="E23" s="25"/>
      <c r="F23" s="11"/>
      <c r="G23" s="23"/>
      <c r="H23" s="23"/>
      <c r="J23" s="16"/>
    </row>
    <row r="24" spans="1:12" customHeight="1" ht="20.25">
      <c r="A24" s="25" t="s">
        <v>90</v>
      </c>
      <c r="B24" s="31"/>
      <c r="C24" s="32"/>
      <c r="D24" s="33"/>
      <c r="E24" s="25"/>
      <c r="F24" s="11"/>
      <c r="G24" s="23"/>
      <c r="H24" s="23"/>
    </row>
    <row r="25" spans="1:12" customHeight="1" ht="20.25">
      <c r="A25" s="25" t="s">
        <v>91</v>
      </c>
      <c r="B25" s="31"/>
      <c r="C25" s="32"/>
      <c r="D25" s="33"/>
      <c r="E25" s="25"/>
      <c r="F25" s="11"/>
      <c r="G25" s="23"/>
      <c r="H25" s="23"/>
    </row>
    <row r="26" spans="1:12" customHeight="1" ht="20.25">
      <c r="A26" s="25" t="s">
        <v>92</v>
      </c>
      <c r="B26" s="30"/>
      <c r="C26" s="28"/>
      <c r="D26" s="29"/>
      <c r="E26" s="25"/>
      <c r="F26" s="11"/>
      <c r="G26" s="23"/>
      <c r="H26" s="23"/>
    </row>
    <row r="27" spans="1:12" customHeight="1" ht="20.25">
      <c r="A27" s="25" t="s">
        <v>93</v>
      </c>
      <c r="B27" s="30"/>
      <c r="C27" s="28"/>
      <c r="D27" s="29"/>
      <c r="E27" s="25"/>
      <c r="F27" s="11"/>
      <c r="G27" s="23"/>
      <c r="H27" s="23"/>
    </row>
    <row r="28" spans="1:12" customHeight="1" ht="20.25">
      <c r="A28" s="25" t="s">
        <v>94</v>
      </c>
      <c r="B28" s="30"/>
      <c r="C28" s="28"/>
      <c r="D28" s="29"/>
      <c r="E28" s="25"/>
      <c r="F28" s="11"/>
      <c r="G28" s="23"/>
      <c r="H28" s="23"/>
    </row>
    <row r="29" spans="1:12" customHeight="1" ht="20.25">
      <c r="A29" s="25" t="s">
        <v>95</v>
      </c>
      <c r="B29" s="37"/>
      <c r="C29" s="34"/>
      <c r="D29" s="35"/>
      <c r="E29" s="36"/>
      <c r="F29" s="11"/>
      <c r="G29" s="23"/>
      <c r="H29" s="23"/>
    </row>
    <row r="30" spans="1:12" customHeight="1" ht="20.25">
      <c r="A30" s="25" t="s">
        <v>96</v>
      </c>
      <c r="B30" s="30"/>
      <c r="C30" s="28"/>
      <c r="D30" s="29"/>
      <c r="E30" s="25"/>
      <c r="F30" s="11"/>
      <c r="G30" s="10"/>
      <c r="H30" s="10"/>
    </row>
    <row r="31" spans="1:12" customHeight="1" ht="20.25">
      <c r="A31" s="25" t="s">
        <v>49</v>
      </c>
      <c r="B31" s="30"/>
      <c r="C31" s="28"/>
      <c r="D31" s="29"/>
      <c r="E31" s="25"/>
      <c r="F31" s="11"/>
      <c r="G31" s="10"/>
      <c r="H31" s="10"/>
    </row>
    <row r="32" spans="1:12" customHeight="1" ht="20.25">
      <c r="A32" s="25" t="s">
        <v>97</v>
      </c>
      <c r="B32" s="30"/>
      <c r="C32" s="28"/>
      <c r="D32" s="29"/>
      <c r="E32" s="25"/>
      <c r="F32" s="11"/>
      <c r="G32" s="10"/>
      <c r="H32" s="10"/>
    </row>
    <row r="33" spans="1:12" customHeight="1" ht="20.25">
      <c r="A33" s="25" t="s">
        <v>98</v>
      </c>
      <c r="B33" s="30"/>
      <c r="C33" s="28"/>
      <c r="D33" s="29"/>
      <c r="E33" s="25"/>
      <c r="F33" s="11"/>
      <c r="G33" s="10"/>
      <c r="H33" s="10"/>
    </row>
    <row r="34" spans="1:12" customHeight="1" ht="20.25">
      <c r="A34" s="25" t="s">
        <v>99</v>
      </c>
      <c r="B34" s="30"/>
      <c r="C34" s="28"/>
      <c r="D34" s="29"/>
      <c r="E34" s="25"/>
      <c r="F34" s="11"/>
      <c r="G34" s="10"/>
      <c r="H34" s="10"/>
    </row>
    <row r="35" spans="1:12" customHeight="1" ht="20.25">
      <c r="A35" s="25" t="s">
        <v>100</v>
      </c>
      <c r="B35" s="30"/>
      <c r="C35" s="28"/>
      <c r="D35" s="29"/>
      <c r="E35" s="25"/>
      <c r="F35" s="11"/>
      <c r="G35" s="10"/>
      <c r="H35" s="10"/>
    </row>
    <row r="36" spans="1:12" customHeight="1" ht="20.25">
      <c r="A36" s="25" t="s">
        <v>101</v>
      </c>
      <c r="B36" s="30"/>
      <c r="C36" s="28"/>
      <c r="D36" s="29"/>
      <c r="E36" s="25"/>
      <c r="F36" s="11"/>
      <c r="G36" s="10"/>
      <c r="H36" s="10"/>
    </row>
    <row r="37" spans="1:12" customHeight="1" ht="20.25">
      <c r="A37" s="25" t="s">
        <v>102</v>
      </c>
      <c r="B37" s="30"/>
      <c r="C37" s="28"/>
      <c r="D37" s="29"/>
      <c r="E37" s="25"/>
      <c r="F37" s="11"/>
      <c r="G37" s="10"/>
      <c r="H37" s="10"/>
    </row>
    <row r="38" spans="1:12" customHeight="1" ht="20.25">
      <c r="A38" s="25" t="s">
        <v>103</v>
      </c>
      <c r="B38" s="30"/>
      <c r="C38" s="28"/>
      <c r="D38" s="29"/>
      <c r="E38" s="26"/>
      <c r="F38" s="11"/>
      <c r="G38" s="10"/>
      <c r="H38" s="10"/>
    </row>
    <row r="39" spans="1:12" customHeight="1" ht="20.25">
      <c r="A39" s="25" t="s">
        <v>104</v>
      </c>
      <c r="B39" s="30"/>
      <c r="C39" s="28"/>
      <c r="D39" s="29"/>
      <c r="E39" s="26"/>
      <c r="F39" s="11"/>
      <c r="G39" s="10"/>
      <c r="H39" s="10"/>
    </row>
    <row r="40" spans="1:12" customHeight="1" ht="20.25">
      <c r="A40" s="25" t="s">
        <v>105</v>
      </c>
      <c r="B40" s="30"/>
      <c r="C40" s="28"/>
      <c r="D40" s="29"/>
      <c r="E40" s="26"/>
      <c r="F40" s="11"/>
      <c r="G40" s="10"/>
      <c r="H40" s="10"/>
    </row>
    <row r="41" spans="1:12" customHeight="1" ht="20.25">
      <c r="A41" s="25" t="s">
        <v>106</v>
      </c>
      <c r="B41" s="30"/>
      <c r="C41" s="28"/>
      <c r="D41" s="29"/>
      <c r="E41" s="26"/>
      <c r="F41" s="11"/>
      <c r="G41" s="10"/>
      <c r="H41" s="10"/>
    </row>
    <row r="42" spans="1:12" customHeight="1" ht="20.25">
      <c r="A42" s="238"/>
      <c r="B42" s="239"/>
      <c r="C42" s="239"/>
      <c r="D42" s="239"/>
      <c r="E42" s="239"/>
      <c r="F42" s="239"/>
      <c r="G42" s="240"/>
      <c r="H42" s="24"/>
    </row>
    <row r="43" spans="1:12" customHeight="1" ht="20.25">
      <c r="A43" s="241" t="s">
        <v>51</v>
      </c>
      <c r="B43" s="241"/>
      <c r="C43" s="241"/>
      <c r="D43" s="241"/>
      <c r="E43" s="241"/>
      <c r="F43" s="241"/>
      <c r="G43" s="241"/>
      <c r="H43" s="241"/>
    </row>
    <row r="44" spans="1:12" customHeight="1" ht="20.25">
      <c r="A44" s="143"/>
      <c r="B44" s="143"/>
      <c r="C44" s="143"/>
      <c r="D44" s="143"/>
      <c r="E44" s="143"/>
      <c r="F44" s="143"/>
      <c r="G44" s="143"/>
      <c r="H44" s="143"/>
    </row>
    <row r="45" spans="1:12" customHeight="1" ht="20.25">
      <c r="A45" s="138"/>
      <c r="B45" s="139"/>
      <c r="C45" s="139"/>
      <c r="D45" s="139"/>
      <c r="E45" s="139"/>
      <c r="F45" s="139"/>
      <c r="G45" s="139"/>
      <c r="H45" s="140"/>
    </row>
    <row r="46" spans="1:12" customHeight="1" ht="18.75">
      <c r="A46" s="163" t="s">
        <v>55</v>
      </c>
      <c r="B46" s="164"/>
      <c r="C46" s="164"/>
      <c r="D46" s="164"/>
      <c r="E46" s="164"/>
      <c r="F46" s="165"/>
      <c r="G46" s="12" t="s">
        <v>56</v>
      </c>
      <c r="H46" s="17" t="s">
        <v>57</v>
      </c>
    </row>
    <row r="47" spans="1:12" customHeight="1" ht="12.75">
      <c r="A47" s="138"/>
      <c r="B47" s="139"/>
      <c r="C47" s="139"/>
      <c r="D47" s="139"/>
      <c r="E47" s="139"/>
      <c r="F47" s="140"/>
      <c r="G47" s="21"/>
      <c r="H47" s="22"/>
    </row>
    <row r="48" spans="1:12" customHeight="1" ht="15">
      <c r="A48" s="13" t="s">
        <v>62</v>
      </c>
      <c r="B48" s="14"/>
      <c r="C48" s="14"/>
      <c r="D48" s="14"/>
      <c r="E48" s="14"/>
      <c r="F48" s="14" t="s">
        <v>63</v>
      </c>
      <c r="G48" s="14"/>
      <c r="H48" s="15"/>
    </row>
    <row r="49" spans="1:12" customHeight="1" ht="18">
      <c r="A49" s="138"/>
      <c r="B49" s="139"/>
      <c r="C49" s="139"/>
      <c r="D49" s="139"/>
      <c r="E49" s="140"/>
      <c r="F49" s="138"/>
      <c r="G49" s="139"/>
      <c r="H49" s="140"/>
    </row>
    <row r="50" spans="1:12" customHeight="1" ht="15">
      <c r="A50" s="13" t="s">
        <v>67</v>
      </c>
      <c r="B50" s="14"/>
      <c r="C50" s="14"/>
      <c r="D50" s="14"/>
      <c r="E50" s="14"/>
      <c r="F50" s="14"/>
      <c r="G50" s="14"/>
      <c r="H50" s="15"/>
    </row>
    <row r="51" spans="1:12" customHeight="1" ht="18">
      <c r="A51" s="242"/>
      <c r="B51" s="243"/>
      <c r="C51" s="243"/>
      <c r="D51" s="243"/>
      <c r="E51" s="243"/>
      <c r="F51" s="243"/>
      <c r="G51" s="243"/>
      <c r="H51" s="244"/>
    </row>
    <row r="52" spans="1:12" customHeight="1" ht="15">
      <c r="A52" s="13" t="s">
        <v>62</v>
      </c>
      <c r="B52" s="14"/>
      <c r="C52" s="14"/>
      <c r="D52" s="14"/>
      <c r="E52" s="14"/>
      <c r="F52" s="14" t="s">
        <v>63</v>
      </c>
      <c r="G52" s="14"/>
      <c r="H52" s="15"/>
      <c r="I52" s="16"/>
    </row>
    <row r="53" spans="1:12" customHeight="1" ht="18">
      <c r="A53" s="138"/>
      <c r="B53" s="139"/>
      <c r="C53" s="139"/>
      <c r="D53" s="139"/>
      <c r="E53" s="140"/>
      <c r="F53" s="138"/>
      <c r="G53" s="139"/>
      <c r="H53" s="140"/>
    </row>
    <row r="54" spans="1:12" customHeight="1" ht="15">
      <c r="A54" s="13" t="s">
        <v>67</v>
      </c>
      <c r="B54" s="14"/>
      <c r="C54" s="14"/>
      <c r="D54" s="14"/>
      <c r="E54" s="14"/>
      <c r="F54" s="14"/>
      <c r="G54" s="14"/>
      <c r="H54" s="15"/>
    </row>
    <row r="55" spans="1:12" customHeight="1" ht="15">
      <c r="A55" s="242"/>
      <c r="B55" s="243"/>
      <c r="C55" s="243"/>
      <c r="D55" s="243"/>
      <c r="E55" s="243"/>
      <c r="F55" s="243"/>
      <c r="G55" s="243"/>
      <c r="H55" s="24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9:E49"/>
    <mergeCell ref="F49:H49"/>
    <mergeCell ref="A51:H51"/>
    <mergeCell ref="A53:E53"/>
    <mergeCell ref="F53:H53"/>
    <mergeCell ref="A55:H55"/>
    <mergeCell ref="A42:G42"/>
    <mergeCell ref="A43:H43"/>
    <mergeCell ref="A44:H44"/>
    <mergeCell ref="A45:H45"/>
    <mergeCell ref="A46:F46"/>
    <mergeCell ref="A47:F47"/>
    <mergeCell ref="A17:F17"/>
    <mergeCell ref="A18:F18"/>
    <mergeCell ref="G18:H18"/>
    <mergeCell ref="A19:H19"/>
    <mergeCell ref="A20:H20"/>
    <mergeCell ref="B21:D21"/>
    <mergeCell ref="A12:H12"/>
    <mergeCell ref="A13:F13"/>
    <mergeCell ref="A14:F14"/>
    <mergeCell ref="G14:H14"/>
    <mergeCell ref="A15:F15"/>
    <mergeCell ref="A16:F16"/>
    <mergeCell ref="G16:H16"/>
    <mergeCell ref="A8:F8"/>
    <mergeCell ref="G8:H8"/>
    <mergeCell ref="A9:F9"/>
    <mergeCell ref="G9:H9"/>
    <mergeCell ref="A10:H10"/>
    <mergeCell ref="A11:H11"/>
    <mergeCell ref="A1:H1"/>
    <mergeCell ref="B2:F2"/>
    <mergeCell ref="G2:H3"/>
    <mergeCell ref="A4:H5"/>
    <mergeCell ref="A6:H6"/>
    <mergeCell ref="D7:F7"/>
  </mergeCells>
  <printOptions gridLines="false" gridLinesSet="true" horizontalCentered="true" verticalCentered="true"/>
  <pageMargins left="0" right="0" top="0" bottom="0" header="0.31496062992126" footer="0.31496062992126"/>
  <pageSetup paperSize="9" orientation="portrait" scale="80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8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PADRÃO</vt:lpstr>
      <vt:lpstr>BASE 02</vt:lpstr>
      <vt:lpstr>BASE 03</vt:lpstr>
      <vt:lpstr>JAYME BACESSART (2)</vt:lpstr>
    </vt:vector>
  </TitlesOfParts>
  <Company>PMS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Educacao - Semed</dc:creator>
  <cp:lastModifiedBy>HUGO VINICIUS</cp:lastModifiedBy>
  <dcterms:created xsi:type="dcterms:W3CDTF">2010-03-30T14:48:46+03:00</dcterms:created>
  <dcterms:modified xsi:type="dcterms:W3CDTF">2025-12-26T05:19:22+02:00</dcterms:modified>
  <dc:title>Untitled Spreadsheet</dc:title>
  <dc:description/>
  <dc:subject/>
  <cp:keywords/>
  <cp:category/>
</cp:coreProperties>
</file>